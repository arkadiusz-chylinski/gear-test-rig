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wutwaw-my.sharepoint.com/personal/01171816_pw_edu_pl/Documents/Instytut/badania/Opracowanie danych/"/>
    </mc:Choice>
  </mc:AlternateContent>
  <xr:revisionPtr revIDLastSave="419" documentId="13_ncr:1_{7332421A-720D-494C-996C-79B62376D4F4}" xr6:coauthVersionLast="47" xr6:coauthVersionMax="47" xr10:uidLastSave="{5C7CE373-14FB-41B3-9852-81EB06D46AA1}"/>
  <bookViews>
    <workbookView xWindow="-28920" yWindow="-120" windowWidth="29040" windowHeight="15720" activeTab="5" xr2:uid="{00000000-000D-0000-FFFF-FFFF00000000}"/>
  </bookViews>
  <sheets>
    <sheet name="Sprawność - praca sucha" sheetId="1" r:id="rId1"/>
    <sheet name="Hałas - praca sucha" sheetId="2" r:id="rId2"/>
    <sheet name="Sprawność - praca mokra" sheetId="4" r:id="rId3"/>
    <sheet name="Hałas - praca mokra" sheetId="5" r:id="rId4"/>
    <sheet name="Porównanie" sheetId="6" r:id="rId5"/>
    <sheet name="Tabela do artykułu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E2" i="1"/>
  <c r="AF2" i="1"/>
  <c r="AG2" i="1"/>
  <c r="AH2" i="1"/>
  <c r="AC2" i="1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T7" i="1"/>
  <c r="U6" i="1"/>
  <c r="V6" i="1"/>
  <c r="W6" i="1"/>
  <c r="X6" i="1"/>
  <c r="Y6" i="1"/>
  <c r="T6" i="1"/>
  <c r="U7" i="1"/>
  <c r="V7" i="1"/>
  <c r="W7" i="1"/>
  <c r="X7" i="1"/>
  <c r="Y7" i="1"/>
  <c r="I7" i="1"/>
  <c r="J7" i="1"/>
  <c r="K7" i="1"/>
  <c r="L7" i="1"/>
  <c r="M7" i="1"/>
  <c r="H7" i="1"/>
  <c r="O7" i="1"/>
  <c r="P7" i="1"/>
  <c r="Q7" i="1"/>
  <c r="R7" i="1"/>
  <c r="S7" i="1"/>
  <c r="N7" i="1"/>
  <c r="I6" i="1"/>
  <c r="J6" i="1"/>
  <c r="K6" i="1"/>
  <c r="L6" i="1"/>
  <c r="M6" i="1"/>
  <c r="H6" i="1"/>
  <c r="O6" i="1"/>
  <c r="P6" i="1"/>
  <c r="Q6" i="1"/>
  <c r="R6" i="1"/>
  <c r="S6" i="1"/>
  <c r="N6" i="1"/>
</calcChain>
</file>

<file path=xl/sharedStrings.xml><?xml version="1.0" encoding="utf-8"?>
<sst xmlns="http://schemas.openxmlformats.org/spreadsheetml/2006/main" count="49" uniqueCount="14">
  <si>
    <t>RPM</t>
  </si>
  <si>
    <t>M_T [mNm]</t>
  </si>
  <si>
    <t>M_sprz [Nm]</t>
  </si>
  <si>
    <t>n_m [%]</t>
  </si>
  <si>
    <t>n_t [%]</t>
  </si>
  <si>
    <t>H [dB]</t>
  </si>
  <si>
    <t>M_Sprz</t>
  </si>
  <si>
    <t>-</t>
  </si>
  <si>
    <t>M_sprz</t>
  </si>
  <si>
    <t>Praca sucha</t>
  </si>
  <si>
    <t>Praca mokra (ŁT-4)</t>
  </si>
  <si>
    <t>w [RPM]</t>
  </si>
  <si>
    <t>u</t>
  </si>
  <si>
    <t>T_ob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</si>
</sst>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0" fontId="0" fillId="0" borderId="1" xfId="1" applyNumberFormat="1" applyFont="1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10" fontId="0" fillId="0" borderId="0" xfId="1" applyNumberFormat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prędkości obrotowej - praca sucha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'Sprawność - praca sucha'!$T$3</c:f>
              <c:strCache>
                <c:ptCount val="1"/>
                <c:pt idx="0">
                  <c:v>1,35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'Sprawność - praca sucha'!$T$4:$Y$4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sucha'!$T$6:$Y$6</c:f>
              <c:numCache>
                <c:formatCode>0.0%</c:formatCode>
                <c:ptCount val="6"/>
                <c:pt idx="0">
                  <c:v>0.98725555555555555</c:v>
                </c:pt>
                <c:pt idx="1">
                  <c:v>0.98798518518518519</c:v>
                </c:pt>
                <c:pt idx="2">
                  <c:v>0.98783333333333334</c:v>
                </c:pt>
                <c:pt idx="3">
                  <c:v>0.98455555555555552</c:v>
                </c:pt>
                <c:pt idx="4">
                  <c:v>0.97991111111111107</c:v>
                </c:pt>
                <c:pt idx="5">
                  <c:v>0.9763518518518518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22-4B26-832E-8A902CC401CE}"/>
            </c:ext>
          </c:extLst>
        </c:ser>
        <c:ser>
          <c:idx val="0"/>
          <c:order val="1"/>
          <c:tx>
            <c:strRef>
              <c:f>'Sprawność - praca sucha'!$N$3</c:f>
              <c:strCache>
                <c:ptCount val="1"/>
                <c:pt idx="0">
                  <c:v>4,15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'Sprawność - praca sucha'!$N$4:$S$4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sucha'!$N$6:$S$6</c:f>
              <c:numCache>
                <c:formatCode>0.0%</c:formatCode>
                <c:ptCount val="6"/>
                <c:pt idx="0">
                  <c:v>0.99051686746987955</c:v>
                </c:pt>
                <c:pt idx="1">
                  <c:v>0.99091807228915663</c:v>
                </c:pt>
                <c:pt idx="2">
                  <c:v>0.99066867469879516</c:v>
                </c:pt>
                <c:pt idx="3">
                  <c:v>0.98948313253012043</c:v>
                </c:pt>
                <c:pt idx="4">
                  <c:v>0.9877433734939759</c:v>
                </c:pt>
                <c:pt idx="5">
                  <c:v>0.98546746987951805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2-4B26-832E-8A902CC401CE}"/>
            </c:ext>
          </c:extLst>
        </c:ser>
        <c:ser>
          <c:idx val="1"/>
          <c:order val="2"/>
          <c:tx>
            <c:strRef>
              <c:f>'Sprawność - praca sucha'!$H$3</c:f>
              <c:strCache>
                <c:ptCount val="1"/>
                <c:pt idx="0">
                  <c:v>5,50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'Sprawność - praca sucha'!$H$4:$M$4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sucha'!$H$6:$M$6</c:f>
              <c:numCache>
                <c:formatCode>0.0%</c:formatCode>
                <c:ptCount val="6"/>
                <c:pt idx="0">
                  <c:v>0.99668090909090912</c:v>
                </c:pt>
                <c:pt idx="1">
                  <c:v>0.99658363636363634</c:v>
                </c:pt>
                <c:pt idx="2">
                  <c:v>0.99620454545454551</c:v>
                </c:pt>
                <c:pt idx="3">
                  <c:v>0.99552818181818181</c:v>
                </c:pt>
                <c:pt idx="4">
                  <c:v>0.9933245454545454</c:v>
                </c:pt>
                <c:pt idx="5">
                  <c:v>0.99128000000000005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2-4B26-832E-8A902CC4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265024"/>
        <c:axId val="1012265504"/>
      </c:scatterChart>
      <c:valAx>
        <c:axId val="10122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Pr.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504"/>
        <c:crosses val="autoZero"/>
        <c:crossBetween val="midCat"/>
      </c:valAx>
      <c:valAx>
        <c:axId val="10122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momentu</a:t>
            </a:r>
            <a:r>
              <a:rPr lang="pl-PL" baseline="0"/>
              <a:t> napinającego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'Sprawność - praca sucha'!$H$4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('Sprawność - praca sucha'!$H$3,'Sprawność - praca sucha'!$N$3,'Sprawność - praca sucha'!$T$3)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sucha'!$H$6,'Sprawność - praca sucha'!$N$6,'Sprawność - praca sucha'!$T$6)</c:f>
              <c:numCache>
                <c:formatCode>0.0%</c:formatCode>
                <c:ptCount val="3"/>
                <c:pt idx="0">
                  <c:v>0.99668090909090912</c:v>
                </c:pt>
                <c:pt idx="1">
                  <c:v>0.99051686746987955</c:v>
                </c:pt>
                <c:pt idx="2">
                  <c:v>0.98725555555555555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2E-4D26-9D0A-5AC9F1D846C2}"/>
            </c:ext>
          </c:extLst>
        </c:ser>
        <c:ser>
          <c:idx val="1"/>
          <c:order val="1"/>
          <c:tx>
            <c:strRef>
              <c:f>'Sprawność - praca sucha'!$I$4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('Sprawność - praca sucha'!$H$3,'Sprawność - praca sucha'!$N$3,'Sprawność - praca sucha'!$T$3)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sucha'!$I$6,'Sprawność - praca sucha'!$O$6,'Sprawność - praca sucha'!$U$6)</c:f>
              <c:numCache>
                <c:formatCode>0.0%</c:formatCode>
                <c:ptCount val="3"/>
                <c:pt idx="0">
                  <c:v>0.99658363636363634</c:v>
                </c:pt>
                <c:pt idx="1">
                  <c:v>0.99091807228915663</c:v>
                </c:pt>
                <c:pt idx="2">
                  <c:v>0.98798518518518519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2E-4D26-9D0A-5AC9F1D846C2}"/>
            </c:ext>
          </c:extLst>
        </c:ser>
        <c:ser>
          <c:idx val="2"/>
          <c:order val="2"/>
          <c:tx>
            <c:strRef>
              <c:f>'Sprawność - praca sucha'!$J$4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('Sprawność - praca sucha'!$H$3,'Sprawność - praca sucha'!$N$3,'Sprawność - praca sucha'!$T$3)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sucha'!$J$6,'Sprawność - praca sucha'!$P$6,'Sprawność - praca sucha'!$V$6)</c:f>
              <c:numCache>
                <c:formatCode>0.0%</c:formatCode>
                <c:ptCount val="3"/>
                <c:pt idx="0">
                  <c:v>0.99620454545454551</c:v>
                </c:pt>
                <c:pt idx="1">
                  <c:v>0.99066867469879516</c:v>
                </c:pt>
                <c:pt idx="2">
                  <c:v>0.98783333333333334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2E-4D26-9D0A-5AC9F1D846C2}"/>
            </c:ext>
          </c:extLst>
        </c:ser>
        <c:ser>
          <c:idx val="3"/>
          <c:order val="3"/>
          <c:tx>
            <c:strRef>
              <c:f>'Sprawność - praca sucha'!$K$4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('Sprawność - praca sucha'!$H$3,'Sprawność - praca sucha'!$N$3,'Sprawność - praca sucha'!$T$3)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sucha'!$K$6,'Sprawność - praca sucha'!$Q$6,'Sprawność - praca sucha'!$W$6)</c:f>
              <c:numCache>
                <c:formatCode>0.0%</c:formatCode>
                <c:ptCount val="3"/>
                <c:pt idx="0">
                  <c:v>0.99552818181818181</c:v>
                </c:pt>
                <c:pt idx="1">
                  <c:v>0.98948313253012043</c:v>
                </c:pt>
                <c:pt idx="2">
                  <c:v>0.98455555555555552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2E-4D26-9D0A-5AC9F1D846C2}"/>
            </c:ext>
          </c:extLst>
        </c:ser>
        <c:ser>
          <c:idx val="4"/>
          <c:order val="4"/>
          <c:tx>
            <c:strRef>
              <c:f>'Sprawność - praca sucha'!$L$4</c:f>
              <c:strCache>
                <c:ptCount val="1"/>
                <c:pt idx="0">
                  <c:v>400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('Sprawność - praca sucha'!$H$3,'Sprawność - praca sucha'!$N$3,'Sprawność - praca sucha'!$T$3)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sucha'!$L$6,'Sprawność - praca sucha'!$R$6,'Sprawność - praca sucha'!$X$6)</c:f>
              <c:numCache>
                <c:formatCode>0.0%</c:formatCode>
                <c:ptCount val="3"/>
                <c:pt idx="0">
                  <c:v>0.9933245454545454</c:v>
                </c:pt>
                <c:pt idx="1">
                  <c:v>0.9877433734939759</c:v>
                </c:pt>
                <c:pt idx="2">
                  <c:v>0.97991111111111107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2E-4D26-9D0A-5AC9F1D846C2}"/>
            </c:ext>
          </c:extLst>
        </c:ser>
        <c:ser>
          <c:idx val="5"/>
          <c:order val="5"/>
          <c:tx>
            <c:strRef>
              <c:f>'Sprawność - praca sucha'!$M$4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('Sprawność - praca sucha'!$H$3,'Sprawność - praca sucha'!$N$3,'Sprawność - praca sucha'!$T$3)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sucha'!$M$6,'Sprawność - praca sucha'!$S$6,'Sprawność - praca sucha'!$Y$6)</c:f>
              <c:numCache>
                <c:formatCode>0.0%</c:formatCode>
                <c:ptCount val="3"/>
                <c:pt idx="0">
                  <c:v>0.99128000000000005</c:v>
                </c:pt>
                <c:pt idx="1">
                  <c:v>0.98546746987951805</c:v>
                </c:pt>
                <c:pt idx="2">
                  <c:v>0.9763518518518518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2E-4D26-9D0A-5AC9F1D8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296223"/>
        <c:axId val="1700297183"/>
      </c:scatterChart>
      <c:valAx>
        <c:axId val="170029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Moment</a:t>
                </a:r>
                <a:r>
                  <a:rPr lang="pl-PL" baseline="0"/>
                  <a:t> napinający [Nm]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0297183"/>
        <c:crosses val="autoZero"/>
        <c:crossBetween val="midCat"/>
      </c:valAx>
      <c:valAx>
        <c:axId val="170029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029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prędkości obrotowej - praca mokra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'Sprawność - praca sucha'!$T$3</c:f>
              <c:strCache>
                <c:ptCount val="1"/>
                <c:pt idx="0">
                  <c:v>1,35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'Sprawność - praca sucha'!$T$4:$Y$4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sucha'!$T$7:$Y$7</c:f>
              <c:numCache>
                <c:formatCode>0.0%</c:formatCode>
                <c:ptCount val="6"/>
                <c:pt idx="0">
                  <c:v>0.97203703703703703</c:v>
                </c:pt>
                <c:pt idx="1">
                  <c:v>0.97127407407407407</c:v>
                </c:pt>
                <c:pt idx="2">
                  <c:v>0.96874074074074068</c:v>
                </c:pt>
                <c:pt idx="3">
                  <c:v>0.96392222222222224</c:v>
                </c:pt>
                <c:pt idx="4">
                  <c:v>0.95888518518518517</c:v>
                </c:pt>
                <c:pt idx="5">
                  <c:v>0.95509999999999995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2-4865-94C4-05E46271F205}"/>
            </c:ext>
          </c:extLst>
        </c:ser>
        <c:ser>
          <c:idx val="0"/>
          <c:order val="1"/>
          <c:tx>
            <c:strRef>
              <c:f>'Sprawność - praca mokra'!$N$3</c:f>
              <c:strCache>
                <c:ptCount val="1"/>
                <c:pt idx="0">
                  <c:v>4,15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'Sprawność - praca mokra'!$N$4:$S$4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mokra'!$N$7:$S$7</c:f>
              <c:numCache>
                <c:formatCode>0.0%</c:formatCode>
                <c:ptCount val="6"/>
                <c:pt idx="0">
                  <c:v>0.98923012048192771</c:v>
                </c:pt>
                <c:pt idx="1">
                  <c:v>0.99019999999999997</c:v>
                </c:pt>
                <c:pt idx="2">
                  <c:v>0.98998072289156624</c:v>
                </c:pt>
                <c:pt idx="3">
                  <c:v>0.9887325301204819</c:v>
                </c:pt>
                <c:pt idx="4">
                  <c:v>0.9873132530120482</c:v>
                </c:pt>
                <c:pt idx="5">
                  <c:v>0.98591566265060238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F2-4865-94C4-05E46271F205}"/>
            </c:ext>
          </c:extLst>
        </c:ser>
        <c:ser>
          <c:idx val="1"/>
          <c:order val="2"/>
          <c:tx>
            <c:strRef>
              <c:f>'Sprawność - praca mokra'!$H$3</c:f>
              <c:strCache>
                <c:ptCount val="1"/>
                <c:pt idx="0">
                  <c:v>5,50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'Sprawność - praca mokra'!$H$4:$M$4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mokra'!$H$7:$M$7</c:f>
              <c:numCache>
                <c:formatCode>0.0%</c:formatCode>
                <c:ptCount val="6"/>
                <c:pt idx="0">
                  <c:v>0.99386909090909092</c:v>
                </c:pt>
                <c:pt idx="1">
                  <c:v>0.99391272727272728</c:v>
                </c:pt>
                <c:pt idx="2">
                  <c:v>0.99411727272727268</c:v>
                </c:pt>
                <c:pt idx="3">
                  <c:v>0.99285181818181822</c:v>
                </c:pt>
                <c:pt idx="4">
                  <c:v>0.99227272727272731</c:v>
                </c:pt>
                <c:pt idx="5">
                  <c:v>0.99090727272727275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F2-4865-94C4-05E46271F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265024"/>
        <c:axId val="1012265504"/>
      </c:scatterChart>
      <c:valAx>
        <c:axId val="10122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Pr.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504"/>
        <c:crosses val="autoZero"/>
        <c:crossBetween val="midCat"/>
      </c:valAx>
      <c:valAx>
        <c:axId val="10122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Poziom hałasu w</a:t>
            </a:r>
            <a:r>
              <a:rPr lang="pl-PL" baseline="0"/>
              <a:t> funkcji prędkości obrotowej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'Hałas - praca sucha'!$C$2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'Hałas - praca sucha'!$B$4:$B$9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sucha'!$C$4:$C$9</c:f>
              <c:numCache>
                <c:formatCode>General</c:formatCode>
                <c:ptCount val="6"/>
                <c:pt idx="0">
                  <c:v>42.19</c:v>
                </c:pt>
                <c:pt idx="1">
                  <c:v>49.99</c:v>
                </c:pt>
                <c:pt idx="2">
                  <c:v>56.83</c:v>
                </c:pt>
                <c:pt idx="3">
                  <c:v>61.99</c:v>
                </c:pt>
                <c:pt idx="4">
                  <c:v>65.83</c:v>
                </c:pt>
                <c:pt idx="5">
                  <c:v>67.34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F-41F8-9BE7-AE2B66176336}"/>
            </c:ext>
          </c:extLst>
        </c:ser>
        <c:ser>
          <c:idx val="1"/>
          <c:order val="1"/>
          <c:tx>
            <c:strRef>
              <c:f>'Hałas - praca sucha'!$D$2</c:f>
              <c:strCache>
                <c:ptCount val="1"/>
                <c:pt idx="0">
                  <c:v>1,35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'Hałas - praca sucha'!$B$4:$B$9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sucha'!$D$4:$D$9</c:f>
              <c:numCache>
                <c:formatCode>General</c:formatCode>
                <c:ptCount val="6"/>
                <c:pt idx="0">
                  <c:v>48.24</c:v>
                </c:pt>
                <c:pt idx="1">
                  <c:v>58.04</c:v>
                </c:pt>
                <c:pt idx="2">
                  <c:v>66.97</c:v>
                </c:pt>
                <c:pt idx="3">
                  <c:v>71.13</c:v>
                </c:pt>
                <c:pt idx="4">
                  <c:v>73.72</c:v>
                </c:pt>
                <c:pt idx="5">
                  <c:v>74.86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F-41F8-9BE7-AE2B66176336}"/>
            </c:ext>
          </c:extLst>
        </c:ser>
        <c:ser>
          <c:idx val="2"/>
          <c:order val="2"/>
          <c:tx>
            <c:strRef>
              <c:f>'Hałas - praca sucha'!$E$2</c:f>
              <c:strCache>
                <c:ptCount val="1"/>
                <c:pt idx="0">
                  <c:v>4,15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'Hałas - praca sucha'!$B$4:$B$9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sucha'!$E$4:$E$9</c:f>
              <c:numCache>
                <c:formatCode>General</c:formatCode>
                <c:ptCount val="6"/>
                <c:pt idx="0">
                  <c:v>48.99</c:v>
                </c:pt>
                <c:pt idx="1">
                  <c:v>59.26</c:v>
                </c:pt>
                <c:pt idx="2">
                  <c:v>69.88</c:v>
                </c:pt>
                <c:pt idx="3">
                  <c:v>74.38</c:v>
                </c:pt>
                <c:pt idx="4">
                  <c:v>76.08</c:v>
                </c:pt>
                <c:pt idx="5">
                  <c:v>76.599999999999994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1F-41F8-9BE7-AE2B66176336}"/>
            </c:ext>
          </c:extLst>
        </c:ser>
        <c:ser>
          <c:idx val="3"/>
          <c:order val="3"/>
          <c:tx>
            <c:strRef>
              <c:f>'Hałas - praca sucha'!$F$2</c:f>
              <c:strCache>
                <c:ptCount val="1"/>
                <c:pt idx="0">
                  <c:v>5,5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'Hałas - praca sucha'!$B$4:$B$9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sucha'!$F$4:$F$9</c:f>
              <c:numCache>
                <c:formatCode>General</c:formatCode>
                <c:ptCount val="6"/>
                <c:pt idx="0">
                  <c:v>50.81</c:v>
                </c:pt>
                <c:pt idx="1">
                  <c:v>61.7</c:v>
                </c:pt>
                <c:pt idx="2">
                  <c:v>71.48</c:v>
                </c:pt>
                <c:pt idx="3">
                  <c:v>75.72</c:v>
                </c:pt>
                <c:pt idx="4">
                  <c:v>76.56</c:v>
                </c:pt>
                <c:pt idx="5">
                  <c:v>76.34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F-41F8-9BE7-AE2B6617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204640"/>
        <c:axId val="474205120"/>
      </c:scatterChart>
      <c:valAx>
        <c:axId val="47420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Prędkość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4205120"/>
        <c:crosses val="autoZero"/>
        <c:crossBetween val="midCat"/>
      </c:valAx>
      <c:valAx>
        <c:axId val="474205120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Poziom hałąsu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420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Poziom hałasu w funkcji obciążenia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'Hałas - praca sucha'!$B$4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'Hałas - praca sucha'!$C$2:$F$2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sucha'!$C$4:$F$4</c:f>
              <c:numCache>
                <c:formatCode>General</c:formatCode>
                <c:ptCount val="4"/>
                <c:pt idx="0">
                  <c:v>42.19</c:v>
                </c:pt>
                <c:pt idx="1">
                  <c:v>48.24</c:v>
                </c:pt>
                <c:pt idx="2">
                  <c:v>48.99</c:v>
                </c:pt>
                <c:pt idx="3">
                  <c:v>50.81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E-4C0F-AEA8-B42E07B70BFF}"/>
            </c:ext>
          </c:extLst>
        </c:ser>
        <c:ser>
          <c:idx val="1"/>
          <c:order val="1"/>
          <c:tx>
            <c:strRef>
              <c:f>'Hałas - praca sucha'!$B$5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'Hałas - praca sucha'!$C$2:$F$2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sucha'!$C$5:$F$5</c:f>
              <c:numCache>
                <c:formatCode>General</c:formatCode>
                <c:ptCount val="4"/>
                <c:pt idx="0">
                  <c:v>49.99</c:v>
                </c:pt>
                <c:pt idx="1">
                  <c:v>58.04</c:v>
                </c:pt>
                <c:pt idx="2">
                  <c:v>59.26</c:v>
                </c:pt>
                <c:pt idx="3">
                  <c:v>61.7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E-4C0F-AEA8-B42E07B70BFF}"/>
            </c:ext>
          </c:extLst>
        </c:ser>
        <c:ser>
          <c:idx val="2"/>
          <c:order val="2"/>
          <c:tx>
            <c:strRef>
              <c:f>'Hałas - praca sucha'!$B$6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'Hałas - praca sucha'!$C$2:$F$2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sucha'!$C$6:$F$6</c:f>
              <c:numCache>
                <c:formatCode>General</c:formatCode>
                <c:ptCount val="4"/>
                <c:pt idx="0">
                  <c:v>56.83</c:v>
                </c:pt>
                <c:pt idx="1">
                  <c:v>66.97</c:v>
                </c:pt>
                <c:pt idx="2">
                  <c:v>69.88</c:v>
                </c:pt>
                <c:pt idx="3">
                  <c:v>71.48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E-4C0F-AEA8-B42E07B70BFF}"/>
            </c:ext>
          </c:extLst>
        </c:ser>
        <c:ser>
          <c:idx val="3"/>
          <c:order val="3"/>
          <c:tx>
            <c:strRef>
              <c:f>'Hałas - praca sucha'!$B$7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'Hałas - praca sucha'!$C$2:$F$2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sucha'!$C$7:$F$7</c:f>
              <c:numCache>
                <c:formatCode>General</c:formatCode>
                <c:ptCount val="4"/>
                <c:pt idx="0">
                  <c:v>61.99</c:v>
                </c:pt>
                <c:pt idx="1">
                  <c:v>71.13</c:v>
                </c:pt>
                <c:pt idx="2">
                  <c:v>74.38</c:v>
                </c:pt>
                <c:pt idx="3">
                  <c:v>75.72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FE-4C0F-AEA8-B42E07B70BFF}"/>
            </c:ext>
          </c:extLst>
        </c:ser>
        <c:ser>
          <c:idx val="4"/>
          <c:order val="4"/>
          <c:tx>
            <c:strRef>
              <c:f>'Hałas - praca sucha'!$C$2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'Hałas - praca sucha'!$C$2:$F$2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sucha'!$C$8:$F$8</c:f>
              <c:numCache>
                <c:formatCode>General</c:formatCode>
                <c:ptCount val="4"/>
                <c:pt idx="0">
                  <c:v>65.83</c:v>
                </c:pt>
                <c:pt idx="1">
                  <c:v>73.72</c:v>
                </c:pt>
                <c:pt idx="2">
                  <c:v>76.08</c:v>
                </c:pt>
                <c:pt idx="3">
                  <c:v>76.56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FE-4C0F-AEA8-B42E07B70BFF}"/>
            </c:ext>
          </c:extLst>
        </c:ser>
        <c:ser>
          <c:idx val="5"/>
          <c:order val="5"/>
          <c:tx>
            <c:strRef>
              <c:f>'Hałas - praca sucha'!$B$9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'Hałas - praca sucha'!$C$2:$F$2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sucha'!$C$9:$F$9</c:f>
              <c:numCache>
                <c:formatCode>General</c:formatCode>
                <c:ptCount val="4"/>
                <c:pt idx="0">
                  <c:v>67.34</c:v>
                </c:pt>
                <c:pt idx="1">
                  <c:v>74.86</c:v>
                </c:pt>
                <c:pt idx="2">
                  <c:v>76.599999999999994</c:v>
                </c:pt>
                <c:pt idx="3">
                  <c:v>76.34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FE-4C0F-AEA8-B42E07B7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303168"/>
        <c:axId val="600318048"/>
      </c:scatterChart>
      <c:valAx>
        <c:axId val="60030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Moment</a:t>
                </a:r>
                <a:r>
                  <a:rPr lang="pl-PL" baseline="0"/>
                  <a:t> napinający [Nm]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18048"/>
        <c:crosses val="autoZero"/>
        <c:crossBetween val="midCat"/>
      </c:valAx>
      <c:valAx>
        <c:axId val="600318048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Poziom hałąsu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prędkości obrotowej - praca mokra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'Sprawność - praca mokra'!$T$3</c:f>
              <c:strCache>
                <c:ptCount val="1"/>
                <c:pt idx="0">
                  <c:v>1,35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'Sprawność - praca mokra'!$T$4:$Y$4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mokra'!$T$6:$Y$6</c:f>
              <c:numCache>
                <c:formatCode>0.0%</c:formatCode>
                <c:ptCount val="6"/>
                <c:pt idx="0">
                  <c:v>0.99336666666666662</c:v>
                </c:pt>
                <c:pt idx="1">
                  <c:v>0.99445555555555554</c:v>
                </c:pt>
                <c:pt idx="2">
                  <c:v>0.99464444444444444</c:v>
                </c:pt>
                <c:pt idx="3">
                  <c:v>0.99438148148148153</c:v>
                </c:pt>
                <c:pt idx="4">
                  <c:v>0.99346296296296299</c:v>
                </c:pt>
                <c:pt idx="5">
                  <c:v>0.99161111111111111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C-4388-B961-773167AC5F93}"/>
            </c:ext>
          </c:extLst>
        </c:ser>
        <c:ser>
          <c:idx val="0"/>
          <c:order val="1"/>
          <c:tx>
            <c:strRef>
              <c:f>'Sprawność - praca mokra'!$N$3</c:f>
              <c:strCache>
                <c:ptCount val="1"/>
                <c:pt idx="0">
                  <c:v>4,15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'Sprawność - praca mokra'!$N$4:$S$4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mokra'!$N$6:$S$6</c:f>
              <c:numCache>
                <c:formatCode>0.0%</c:formatCode>
                <c:ptCount val="6"/>
                <c:pt idx="0">
                  <c:v>0.99425421686746984</c:v>
                </c:pt>
                <c:pt idx="1">
                  <c:v>0.99547349397590357</c:v>
                </c:pt>
                <c:pt idx="2">
                  <c:v>0.99558915662650604</c:v>
                </c:pt>
                <c:pt idx="3">
                  <c:v>0.9951566265060241</c:v>
                </c:pt>
                <c:pt idx="4">
                  <c:v>0.99406024096385537</c:v>
                </c:pt>
                <c:pt idx="5">
                  <c:v>0.99306506024096386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C-4388-B961-773167AC5F93}"/>
            </c:ext>
          </c:extLst>
        </c:ser>
        <c:ser>
          <c:idx val="1"/>
          <c:order val="2"/>
          <c:tx>
            <c:strRef>
              <c:f>'Sprawność - praca mokra'!$H$3</c:f>
              <c:strCache>
                <c:ptCount val="1"/>
                <c:pt idx="0">
                  <c:v>5,50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'Sprawność - praca mokra'!$H$4:$M$4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mokra'!$H$6:$M$6</c:f>
              <c:numCache>
                <c:formatCode>0.0%</c:formatCode>
                <c:ptCount val="6"/>
                <c:pt idx="0">
                  <c:v>0.99765999999999999</c:v>
                </c:pt>
                <c:pt idx="1">
                  <c:v>0.99789181818181816</c:v>
                </c:pt>
                <c:pt idx="2">
                  <c:v>0.99834909090909096</c:v>
                </c:pt>
                <c:pt idx="3">
                  <c:v>0.99769909090909092</c:v>
                </c:pt>
                <c:pt idx="4">
                  <c:v>0.99736363636363634</c:v>
                </c:pt>
                <c:pt idx="5">
                  <c:v>0.99630181818181818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FC-4388-B961-773167AC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265024"/>
        <c:axId val="1012265504"/>
      </c:scatterChart>
      <c:valAx>
        <c:axId val="10122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Pr.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504"/>
        <c:crosses val="autoZero"/>
        <c:crossBetween val="midCat"/>
      </c:valAx>
      <c:valAx>
        <c:axId val="10122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momentu</a:t>
            </a:r>
            <a:r>
              <a:rPr lang="pl-PL" baseline="0"/>
              <a:t> napinającego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'Sprawność - praca mokra'!$H$4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('Sprawność - praca mokra'!$H$3,'Sprawność - praca mokra'!$N$3,'Sprawność - praca mokra'!$T$3)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mokra'!$H$6,'Sprawność - praca mokra'!$N$6,'Sprawność - praca mokra'!$T$6)</c:f>
              <c:numCache>
                <c:formatCode>0.0%</c:formatCode>
                <c:ptCount val="3"/>
                <c:pt idx="0">
                  <c:v>0.99765999999999999</c:v>
                </c:pt>
                <c:pt idx="1">
                  <c:v>0.99425421686746984</c:v>
                </c:pt>
                <c:pt idx="2">
                  <c:v>0.99336666666666662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E-482F-ADA0-6C1B23D0DF1D}"/>
            </c:ext>
          </c:extLst>
        </c:ser>
        <c:ser>
          <c:idx val="1"/>
          <c:order val="1"/>
          <c:tx>
            <c:strRef>
              <c:f>'Sprawność - praca mokra'!$I$4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('Sprawność - praca mokra'!$H$3,'Sprawność - praca mokra'!$N$3,'Sprawność - praca mokra'!$T$3)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mokra'!$I$6,'Sprawność - praca mokra'!$O$6,'Sprawność - praca mokra'!$U$6)</c:f>
              <c:numCache>
                <c:formatCode>0.0%</c:formatCode>
                <c:ptCount val="3"/>
                <c:pt idx="0">
                  <c:v>0.99789181818181816</c:v>
                </c:pt>
                <c:pt idx="1">
                  <c:v>0.99547349397590357</c:v>
                </c:pt>
                <c:pt idx="2">
                  <c:v>0.99445555555555554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E-482F-ADA0-6C1B23D0DF1D}"/>
            </c:ext>
          </c:extLst>
        </c:ser>
        <c:ser>
          <c:idx val="2"/>
          <c:order val="2"/>
          <c:tx>
            <c:strRef>
              <c:f>'Sprawność - praca mokra'!$J$4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('Sprawność - praca mokra'!$H$3,'Sprawność - praca mokra'!$N$3,'Sprawność - praca mokra'!$T$3)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mokra'!$J$6,'Sprawność - praca mokra'!$P$6,'Sprawność - praca mokra'!$V$6)</c:f>
              <c:numCache>
                <c:formatCode>0.0%</c:formatCode>
                <c:ptCount val="3"/>
                <c:pt idx="0">
                  <c:v>0.99834909090909096</c:v>
                </c:pt>
                <c:pt idx="1">
                  <c:v>0.99558915662650604</c:v>
                </c:pt>
                <c:pt idx="2">
                  <c:v>0.99464444444444444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1E-482F-ADA0-6C1B23D0DF1D}"/>
            </c:ext>
          </c:extLst>
        </c:ser>
        <c:ser>
          <c:idx val="3"/>
          <c:order val="3"/>
          <c:tx>
            <c:strRef>
              <c:f>'Sprawność - praca mokra'!$K$4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('Sprawność - praca mokra'!$H$3,'Sprawność - praca mokra'!$N$3,'Sprawność - praca mokra'!$T$3)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mokra'!$K$6,'Sprawność - praca mokra'!$Q$6,'Sprawność - praca mokra'!$W$6)</c:f>
              <c:numCache>
                <c:formatCode>0.0%</c:formatCode>
                <c:ptCount val="3"/>
                <c:pt idx="0">
                  <c:v>0.99769909090909092</c:v>
                </c:pt>
                <c:pt idx="1">
                  <c:v>0.9951566265060241</c:v>
                </c:pt>
                <c:pt idx="2">
                  <c:v>0.99438148148148153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1E-482F-ADA0-6C1B23D0DF1D}"/>
            </c:ext>
          </c:extLst>
        </c:ser>
        <c:ser>
          <c:idx val="4"/>
          <c:order val="4"/>
          <c:tx>
            <c:strRef>
              <c:f>'Sprawność - praca mokra'!$L$4</c:f>
              <c:strCache>
                <c:ptCount val="1"/>
                <c:pt idx="0">
                  <c:v>400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('Sprawność - praca mokra'!$H$3,'Sprawność - praca mokra'!$N$3,'Sprawność - praca mokra'!$T$3)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mokra'!$L$6,'Sprawność - praca mokra'!$R$6,'Sprawność - praca mokra'!$X$6)</c:f>
              <c:numCache>
                <c:formatCode>0.0%</c:formatCode>
                <c:ptCount val="3"/>
                <c:pt idx="0">
                  <c:v>0.99736363636363634</c:v>
                </c:pt>
                <c:pt idx="1">
                  <c:v>0.99406024096385537</c:v>
                </c:pt>
                <c:pt idx="2">
                  <c:v>0.99346296296296299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1E-482F-ADA0-6C1B23D0DF1D}"/>
            </c:ext>
          </c:extLst>
        </c:ser>
        <c:ser>
          <c:idx val="5"/>
          <c:order val="5"/>
          <c:tx>
            <c:strRef>
              <c:f>'Sprawność - praca mokra'!$M$4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('Sprawność - praca mokra'!$H$3,'Sprawność - praca mokra'!$N$3,'Sprawność - praca mokra'!$T$3)</c:f>
              <c:numCache>
                <c:formatCode>General</c:formatCode>
                <c:ptCount val="3"/>
                <c:pt idx="0" formatCode="0.00">
                  <c:v>5.5</c:v>
                </c:pt>
                <c:pt idx="1">
                  <c:v>4.1500000000000004</c:v>
                </c:pt>
                <c:pt idx="2">
                  <c:v>1.35</c:v>
                </c:pt>
              </c:numCache>
            </c:numRef>
          </c:xVal>
          <c:yVal>
            <c:numRef>
              <c:f>('Sprawność - praca mokra'!$M$6,'Sprawność - praca mokra'!$S$6,'Sprawność - praca mokra'!$Y$6)</c:f>
              <c:numCache>
                <c:formatCode>0.0%</c:formatCode>
                <c:ptCount val="3"/>
                <c:pt idx="0">
                  <c:v>0.99630181818181818</c:v>
                </c:pt>
                <c:pt idx="1">
                  <c:v>0.99306506024096386</c:v>
                </c:pt>
                <c:pt idx="2">
                  <c:v>0.99161111111111111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1E-482F-ADA0-6C1B23D0D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296223"/>
        <c:axId val="1700297183"/>
      </c:scatterChart>
      <c:valAx>
        <c:axId val="170029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Moment</a:t>
                </a:r>
                <a:r>
                  <a:rPr lang="pl-PL" baseline="0"/>
                  <a:t> napinający [Nm]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0297183"/>
        <c:crosses val="autoZero"/>
        <c:crossBetween val="midCat"/>
      </c:valAx>
      <c:valAx>
        <c:axId val="170029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029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prędkości obrotowej - praca mokra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'Sprawność - praca mokra'!$T$3</c:f>
              <c:strCache>
                <c:ptCount val="1"/>
                <c:pt idx="0">
                  <c:v>1,35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'Sprawność - praca mokra'!$T$4:$Y$4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mokra'!$T$7:$Y$7</c:f>
              <c:numCache>
                <c:formatCode>0.0%</c:formatCode>
                <c:ptCount val="6"/>
                <c:pt idx="0">
                  <c:v>0.97792222222222225</c:v>
                </c:pt>
                <c:pt idx="1">
                  <c:v>0.97824444444444447</c:v>
                </c:pt>
                <c:pt idx="2">
                  <c:v>0.97740370370370366</c:v>
                </c:pt>
                <c:pt idx="3">
                  <c:v>0.97463333333333335</c:v>
                </c:pt>
                <c:pt idx="4">
                  <c:v>0.97272222222222227</c:v>
                </c:pt>
                <c:pt idx="5">
                  <c:v>0.96963333333333335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5-4EE9-8BA5-C251B76E0467}"/>
            </c:ext>
          </c:extLst>
        </c:ser>
        <c:ser>
          <c:idx val="0"/>
          <c:order val="1"/>
          <c:tx>
            <c:strRef>
              <c:f>'Sprawność - praca mokra'!$N$3</c:f>
              <c:strCache>
                <c:ptCount val="1"/>
                <c:pt idx="0">
                  <c:v>4,15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'Sprawność - praca mokra'!$N$4:$S$4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mokra'!$N$7:$S$7</c:f>
              <c:numCache>
                <c:formatCode>0.0%</c:formatCode>
                <c:ptCount val="6"/>
                <c:pt idx="0">
                  <c:v>0.98923012048192771</c:v>
                </c:pt>
                <c:pt idx="1">
                  <c:v>0.99019999999999997</c:v>
                </c:pt>
                <c:pt idx="2">
                  <c:v>0.98998072289156624</c:v>
                </c:pt>
                <c:pt idx="3">
                  <c:v>0.9887325301204819</c:v>
                </c:pt>
                <c:pt idx="4">
                  <c:v>0.9873132530120482</c:v>
                </c:pt>
                <c:pt idx="5">
                  <c:v>0.98591566265060238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C5-4EE9-8BA5-C251B76E0467}"/>
            </c:ext>
          </c:extLst>
        </c:ser>
        <c:ser>
          <c:idx val="1"/>
          <c:order val="2"/>
          <c:tx>
            <c:strRef>
              <c:f>'Sprawność - praca mokra'!$H$3</c:f>
              <c:strCache>
                <c:ptCount val="1"/>
                <c:pt idx="0">
                  <c:v>5,50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'Sprawność - praca mokra'!$H$4:$M$4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'Sprawność - praca mokra'!$H$7:$M$7</c:f>
              <c:numCache>
                <c:formatCode>0.0%</c:formatCode>
                <c:ptCount val="6"/>
                <c:pt idx="0">
                  <c:v>0.99386909090909092</c:v>
                </c:pt>
                <c:pt idx="1">
                  <c:v>0.99391272727272728</c:v>
                </c:pt>
                <c:pt idx="2">
                  <c:v>0.99411727272727268</c:v>
                </c:pt>
                <c:pt idx="3">
                  <c:v>0.99285181818181822</c:v>
                </c:pt>
                <c:pt idx="4">
                  <c:v>0.99227272727272731</c:v>
                </c:pt>
                <c:pt idx="5">
                  <c:v>0.99090727272727275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C5-4EE9-8BA5-C251B76E0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265024"/>
        <c:axId val="1012265504"/>
      </c:scatterChart>
      <c:valAx>
        <c:axId val="10122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Pr.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504"/>
        <c:crosses val="autoZero"/>
        <c:crossBetween val="midCat"/>
      </c:valAx>
      <c:valAx>
        <c:axId val="10122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26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Poziom hałasu w</a:t>
            </a:r>
            <a:r>
              <a:rPr lang="pl-PL" baseline="0"/>
              <a:t> funkcji prędkości obrotowej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'Hałas - praca mokra'!$C$2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'Hałas - praca mokra'!$B$4:$B$9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mokra'!$C$4:$C$9</c:f>
              <c:numCache>
                <c:formatCode>General</c:formatCode>
                <c:ptCount val="6"/>
                <c:pt idx="0">
                  <c:v>41.24</c:v>
                </c:pt>
                <c:pt idx="1">
                  <c:v>48.4</c:v>
                </c:pt>
                <c:pt idx="2">
                  <c:v>53.55</c:v>
                </c:pt>
                <c:pt idx="3">
                  <c:v>58.72</c:v>
                </c:pt>
                <c:pt idx="4">
                  <c:v>62.7</c:v>
                </c:pt>
                <c:pt idx="5">
                  <c:v>65.06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C9-4F6C-B059-5DAB6532C82A}"/>
            </c:ext>
          </c:extLst>
        </c:ser>
        <c:ser>
          <c:idx val="1"/>
          <c:order val="1"/>
          <c:tx>
            <c:strRef>
              <c:f>'Hałas - praca mokra'!$D$2</c:f>
              <c:strCache>
                <c:ptCount val="1"/>
                <c:pt idx="0">
                  <c:v>1,35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'Hałas - praca mokra'!$B$4:$B$9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mokra'!$D$4:$D$9</c:f>
              <c:numCache>
                <c:formatCode>General</c:formatCode>
                <c:ptCount val="6"/>
                <c:pt idx="0">
                  <c:v>44.44</c:v>
                </c:pt>
                <c:pt idx="1">
                  <c:v>53.04</c:v>
                </c:pt>
                <c:pt idx="2">
                  <c:v>60.06</c:v>
                </c:pt>
                <c:pt idx="3">
                  <c:v>65.709999999999994</c:v>
                </c:pt>
                <c:pt idx="4">
                  <c:v>67.38</c:v>
                </c:pt>
                <c:pt idx="5">
                  <c:v>68.739999999999995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C9-4F6C-B059-5DAB6532C82A}"/>
            </c:ext>
          </c:extLst>
        </c:ser>
        <c:ser>
          <c:idx val="2"/>
          <c:order val="2"/>
          <c:tx>
            <c:strRef>
              <c:f>'Hałas - praca mokra'!$E$2</c:f>
              <c:strCache>
                <c:ptCount val="1"/>
                <c:pt idx="0">
                  <c:v>4,15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'Hałas - praca mokra'!$B$4:$B$9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mokra'!$E$4:$E$9</c:f>
              <c:numCache>
                <c:formatCode>General</c:formatCode>
                <c:ptCount val="6"/>
                <c:pt idx="0">
                  <c:v>45.24</c:v>
                </c:pt>
                <c:pt idx="1">
                  <c:v>55.06</c:v>
                </c:pt>
                <c:pt idx="2">
                  <c:v>65.61</c:v>
                </c:pt>
                <c:pt idx="3">
                  <c:v>69.41</c:v>
                </c:pt>
                <c:pt idx="4">
                  <c:v>73.12</c:v>
                </c:pt>
                <c:pt idx="5">
                  <c:v>74.08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C9-4F6C-B059-5DAB6532C82A}"/>
            </c:ext>
          </c:extLst>
        </c:ser>
        <c:ser>
          <c:idx val="3"/>
          <c:order val="3"/>
          <c:tx>
            <c:strRef>
              <c:f>'Hałas - praca mokra'!$F$2</c:f>
              <c:strCache>
                <c:ptCount val="1"/>
                <c:pt idx="0">
                  <c:v>5,5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'Hałas - praca mokra'!$B$4:$B$9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'Hałas - praca mokra'!$F$4:$F$9</c:f>
              <c:numCache>
                <c:formatCode>General</c:formatCode>
                <c:ptCount val="6"/>
                <c:pt idx="0">
                  <c:v>44.36</c:v>
                </c:pt>
                <c:pt idx="1">
                  <c:v>52.89</c:v>
                </c:pt>
                <c:pt idx="2">
                  <c:v>62.88</c:v>
                </c:pt>
                <c:pt idx="3">
                  <c:v>68.650000000000006</c:v>
                </c:pt>
                <c:pt idx="4">
                  <c:v>70.56</c:v>
                </c:pt>
                <c:pt idx="5">
                  <c:v>71.760000000000005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C9-4F6C-B059-5DAB6532C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204640"/>
        <c:axId val="474205120"/>
      </c:scatterChart>
      <c:valAx>
        <c:axId val="47420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Prędkość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4205120"/>
        <c:crosses val="autoZero"/>
        <c:crossBetween val="midCat"/>
      </c:valAx>
      <c:valAx>
        <c:axId val="474205120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Poziom hałąsu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420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Poziom hałasu w funkcji obciążenia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'Hałas - praca mokra'!$B$4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'Hałas - praca mokra'!$C$2:$F$2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mokra'!$C$4:$F$4</c:f>
              <c:numCache>
                <c:formatCode>General</c:formatCode>
                <c:ptCount val="4"/>
                <c:pt idx="0">
                  <c:v>41.24</c:v>
                </c:pt>
                <c:pt idx="1">
                  <c:v>44.44</c:v>
                </c:pt>
                <c:pt idx="2">
                  <c:v>45.24</c:v>
                </c:pt>
                <c:pt idx="3">
                  <c:v>44.36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1-45C7-88C6-0DA4B7E54BCB}"/>
            </c:ext>
          </c:extLst>
        </c:ser>
        <c:ser>
          <c:idx val="1"/>
          <c:order val="1"/>
          <c:tx>
            <c:strRef>
              <c:f>'Hałas - praca mokra'!$B$5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'Hałas - praca mokra'!$C$2:$F$2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mokra'!$C$5:$F$5</c:f>
              <c:numCache>
                <c:formatCode>General</c:formatCode>
                <c:ptCount val="4"/>
                <c:pt idx="0">
                  <c:v>48.4</c:v>
                </c:pt>
                <c:pt idx="1">
                  <c:v>53.04</c:v>
                </c:pt>
                <c:pt idx="2">
                  <c:v>55.06</c:v>
                </c:pt>
                <c:pt idx="3">
                  <c:v>52.89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1-45C7-88C6-0DA4B7E54BCB}"/>
            </c:ext>
          </c:extLst>
        </c:ser>
        <c:ser>
          <c:idx val="2"/>
          <c:order val="2"/>
          <c:tx>
            <c:strRef>
              <c:f>'Hałas - praca mokra'!$B$6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'Hałas - praca mokra'!$C$2:$F$2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mokra'!$C$6:$F$6</c:f>
              <c:numCache>
                <c:formatCode>General</c:formatCode>
                <c:ptCount val="4"/>
                <c:pt idx="0">
                  <c:v>53.55</c:v>
                </c:pt>
                <c:pt idx="1">
                  <c:v>60.06</c:v>
                </c:pt>
                <c:pt idx="2">
                  <c:v>65.61</c:v>
                </c:pt>
                <c:pt idx="3">
                  <c:v>62.88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1-45C7-88C6-0DA4B7E54BCB}"/>
            </c:ext>
          </c:extLst>
        </c:ser>
        <c:ser>
          <c:idx val="3"/>
          <c:order val="3"/>
          <c:tx>
            <c:strRef>
              <c:f>'Hałas - praca mokra'!$B$7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'Hałas - praca mokra'!$C$2:$F$2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mokra'!$C$7:$F$7</c:f>
              <c:numCache>
                <c:formatCode>General</c:formatCode>
                <c:ptCount val="4"/>
                <c:pt idx="0">
                  <c:v>58.72</c:v>
                </c:pt>
                <c:pt idx="1">
                  <c:v>65.709999999999994</c:v>
                </c:pt>
                <c:pt idx="2">
                  <c:v>69.41</c:v>
                </c:pt>
                <c:pt idx="3">
                  <c:v>68.650000000000006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A1-45C7-88C6-0DA4B7E54BCB}"/>
            </c:ext>
          </c:extLst>
        </c:ser>
        <c:ser>
          <c:idx val="4"/>
          <c:order val="4"/>
          <c:tx>
            <c:strRef>
              <c:f>'Hałas - praca mokra'!$C$2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'Hałas - praca mokra'!$C$2:$F$2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mokra'!$C$8:$F$8</c:f>
              <c:numCache>
                <c:formatCode>General</c:formatCode>
                <c:ptCount val="4"/>
                <c:pt idx="0">
                  <c:v>62.7</c:v>
                </c:pt>
                <c:pt idx="1">
                  <c:v>67.38</c:v>
                </c:pt>
                <c:pt idx="2">
                  <c:v>73.12</c:v>
                </c:pt>
                <c:pt idx="3">
                  <c:v>70.56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A1-45C7-88C6-0DA4B7E54BCB}"/>
            </c:ext>
          </c:extLst>
        </c:ser>
        <c:ser>
          <c:idx val="5"/>
          <c:order val="5"/>
          <c:tx>
            <c:strRef>
              <c:f>'Hałas - praca mokra'!$B$9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'Hałas - praca mokra'!$C$2:$F$2</c:f>
              <c:numCache>
                <c:formatCode>General</c:formatCode>
                <c:ptCount val="4"/>
                <c:pt idx="0">
                  <c:v>0</c:v>
                </c:pt>
                <c:pt idx="1">
                  <c:v>1.35</c:v>
                </c:pt>
                <c:pt idx="2">
                  <c:v>4.1500000000000004</c:v>
                </c:pt>
                <c:pt idx="3">
                  <c:v>5.5</c:v>
                </c:pt>
              </c:numCache>
            </c:numRef>
          </c:xVal>
          <c:yVal>
            <c:numRef>
              <c:f>'Hałas - praca mokra'!$C$9:$F$9</c:f>
              <c:numCache>
                <c:formatCode>General</c:formatCode>
                <c:ptCount val="4"/>
                <c:pt idx="0">
                  <c:v>65.06</c:v>
                </c:pt>
                <c:pt idx="1">
                  <c:v>68.739999999999995</c:v>
                </c:pt>
                <c:pt idx="2">
                  <c:v>74.08</c:v>
                </c:pt>
                <c:pt idx="3">
                  <c:v>71.760000000000005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A1-45C7-88C6-0DA4B7E54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303168"/>
        <c:axId val="600318048"/>
      </c:scatterChart>
      <c:valAx>
        <c:axId val="60030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Moment</a:t>
                </a:r>
                <a:r>
                  <a:rPr lang="pl-PL" baseline="0"/>
                  <a:t> napinający [Nm]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18048"/>
        <c:crosses val="autoZero"/>
        <c:crossBetween val="midCat"/>
      </c:valAx>
      <c:valAx>
        <c:axId val="600318048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Poziom hałąsu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030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Sprawność w funkcji prędkości obrotowej (M</a:t>
            </a:r>
            <a:r>
              <a:rPr lang="pl-PL" baseline="0"/>
              <a:t> = 5,5Nm)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Porównanie!$C$2:$H$2</c:f>
              <c:strCache>
                <c:ptCount val="6"/>
                <c:pt idx="0">
                  <c:v>Praca sucha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Porównanie!$C$4:$H$4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Porównanie!$C$6:$H$6</c:f>
              <c:numCache>
                <c:formatCode>0.00%</c:formatCode>
                <c:ptCount val="6"/>
                <c:pt idx="0">
                  <c:v>0.99668090909090912</c:v>
                </c:pt>
                <c:pt idx="1">
                  <c:v>0.99658363636363634</c:v>
                </c:pt>
                <c:pt idx="2">
                  <c:v>0.99620454545454551</c:v>
                </c:pt>
                <c:pt idx="3">
                  <c:v>0.99552818181818181</c:v>
                </c:pt>
                <c:pt idx="4">
                  <c:v>0.9933245454545454</c:v>
                </c:pt>
                <c:pt idx="5">
                  <c:v>0.99128000000000005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C9-4D59-B794-2253CAC7BEB6}"/>
            </c:ext>
          </c:extLst>
        </c:ser>
        <c:ser>
          <c:idx val="1"/>
          <c:order val="1"/>
          <c:tx>
            <c:strRef>
              <c:f>Porównanie!$I$2:$N$2</c:f>
              <c:strCache>
                <c:ptCount val="6"/>
                <c:pt idx="0">
                  <c:v>Praca mokra (ŁT-4)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Porównanie!$I$4:$N$4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Porównanie!$I$6:$N$6</c:f>
              <c:numCache>
                <c:formatCode>0.00%</c:formatCode>
                <c:ptCount val="6"/>
                <c:pt idx="0">
                  <c:v>0.99765999999999999</c:v>
                </c:pt>
                <c:pt idx="1">
                  <c:v>0.99789181818181816</c:v>
                </c:pt>
                <c:pt idx="2">
                  <c:v>0.99834909090909096</c:v>
                </c:pt>
                <c:pt idx="3">
                  <c:v>0.99769909090909092</c:v>
                </c:pt>
                <c:pt idx="4">
                  <c:v>0.99736363636363634</c:v>
                </c:pt>
                <c:pt idx="5">
                  <c:v>0.99630181818181818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C9-4D59-B794-2253CAC7B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937936"/>
        <c:axId val="339943696"/>
      </c:scatterChart>
      <c:valAx>
        <c:axId val="33993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Prędkość obrotowa</a:t>
                </a:r>
                <a:r>
                  <a:rPr lang="pl-PL" baseline="0"/>
                  <a:t> [RPM]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9943696"/>
        <c:crosses val="autoZero"/>
        <c:crossBetween val="midCat"/>
      </c:valAx>
      <c:valAx>
        <c:axId val="3399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993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Poziom hałasu w funkcji prędkości obrotowej (M</a:t>
            </a:r>
            <a:r>
              <a:rPr lang="pl-PL" baseline="0"/>
              <a:t> = 5,5Nm)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Porównanie!$T$2</c:f>
              <c:strCache>
                <c:ptCount val="1"/>
                <c:pt idx="0">
                  <c:v>Praca sucha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Porównanie!$T$5:$T$10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Porównanie!$X$5:$X$10</c:f>
              <c:numCache>
                <c:formatCode>General</c:formatCode>
                <c:ptCount val="6"/>
                <c:pt idx="0">
                  <c:v>50.81</c:v>
                </c:pt>
                <c:pt idx="1">
                  <c:v>61.7</c:v>
                </c:pt>
                <c:pt idx="2">
                  <c:v>71.48</c:v>
                </c:pt>
                <c:pt idx="3">
                  <c:v>75.72</c:v>
                </c:pt>
                <c:pt idx="4">
                  <c:v>76.56</c:v>
                </c:pt>
                <c:pt idx="5">
                  <c:v>76.34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F-475E-B044-BB1760E846BD}"/>
            </c:ext>
          </c:extLst>
        </c:ser>
        <c:ser>
          <c:idx val="1"/>
          <c:order val="1"/>
          <c:tx>
            <c:strRef>
              <c:f>Porównanie!$Y$2</c:f>
              <c:strCache>
                <c:ptCount val="1"/>
                <c:pt idx="0">
                  <c:v>Praca mokra (ŁT-4)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Porównanie!$Y$5:$Y$10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Porównanie!$AC$5:$AC$10</c:f>
              <c:numCache>
                <c:formatCode>General</c:formatCode>
                <c:ptCount val="6"/>
                <c:pt idx="0">
                  <c:v>44.36</c:v>
                </c:pt>
                <c:pt idx="1">
                  <c:v>52.89</c:v>
                </c:pt>
                <c:pt idx="2">
                  <c:v>62.88</c:v>
                </c:pt>
                <c:pt idx="3">
                  <c:v>68.650000000000006</c:v>
                </c:pt>
                <c:pt idx="4">
                  <c:v>70.56</c:v>
                </c:pt>
                <c:pt idx="5">
                  <c:v>71.760000000000005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F-475E-B044-BB1760E84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69584"/>
        <c:axId val="335979184"/>
      </c:scatterChart>
      <c:valAx>
        <c:axId val="33596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Prędkość obrotowa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5979184"/>
        <c:crosses val="autoZero"/>
        <c:crossBetween val="midCat"/>
      </c:valAx>
      <c:valAx>
        <c:axId val="33597918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Sprawność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596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104029</xdr:colOff>
      <xdr:row>10</xdr:row>
      <xdr:rowOff>64807</xdr:rowOff>
    </xdr:from>
    <xdr:to>
      <xdr:col>12</xdr:col>
      <xdr:colOff>435910</xdr:colOff>
      <xdr:row>32</xdr:row>
      <xdr:rowOff>28202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058B63-AA74-46D3-DD65-5AE8C514A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507065</xdr:colOff>
      <xdr:row>10</xdr:row>
      <xdr:rowOff>75453</xdr:rowOff>
    </xdr:from>
    <xdr:to>
      <xdr:col>25</xdr:col>
      <xdr:colOff>437403</xdr:colOff>
      <xdr:row>32</xdr:row>
      <xdr:rowOff>56777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A870FDD-E724-22AE-50D6-EA2BA34B9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123825</xdr:colOff>
      <xdr:row>34</xdr:row>
      <xdr:rowOff>152400</xdr:rowOff>
    </xdr:from>
    <xdr:to>
      <xdr:col>13</xdr:col>
      <xdr:colOff>589056</xdr:colOff>
      <xdr:row>56</xdr:row>
      <xdr:rowOff>19637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83AE77A-E721-4212-8EA1-F2A440647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109536</xdr:rowOff>
    </xdr:from>
    <xdr:to>
      <xdr:col>14</xdr:col>
      <xdr:colOff>600075</xdr:colOff>
      <xdr:row>34</xdr:row>
      <xdr:rowOff>171449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68A5648-7D64-6231-5A17-AFB888EA1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200025</xdr:colOff>
      <xdr:row>9</xdr:row>
      <xdr:rowOff>138112</xdr:rowOff>
    </xdr:from>
    <xdr:to>
      <xdr:col>28</xdr:col>
      <xdr:colOff>314325</xdr:colOff>
      <xdr:row>34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D56B594-1523-C4B3-43B9-0B459D361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104029</xdr:colOff>
      <xdr:row>10</xdr:row>
      <xdr:rowOff>64807</xdr:rowOff>
    </xdr:from>
    <xdr:to>
      <xdr:col>12</xdr:col>
      <xdr:colOff>435910</xdr:colOff>
      <xdr:row>32</xdr:row>
      <xdr:rowOff>28202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1AFF98A-D5CE-418B-B832-27B5B3DF8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507065</xdr:colOff>
      <xdr:row>10</xdr:row>
      <xdr:rowOff>75453</xdr:rowOff>
    </xdr:from>
    <xdr:to>
      <xdr:col>25</xdr:col>
      <xdr:colOff>437403</xdr:colOff>
      <xdr:row>32</xdr:row>
      <xdr:rowOff>56777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9E7ECE3-9DD6-43AF-B1F4-1D88D6238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544286</xdr:colOff>
      <xdr:row>33</xdr:row>
      <xdr:rowOff>122465</xdr:rowOff>
    </xdr:from>
    <xdr:to>
      <xdr:col>13</xdr:col>
      <xdr:colOff>233456</xdr:colOff>
      <xdr:row>55</xdr:row>
      <xdr:rowOff>89034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B3E0ACB-3B09-464E-9951-8D332824D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109536</xdr:rowOff>
    </xdr:from>
    <xdr:to>
      <xdr:col>14</xdr:col>
      <xdr:colOff>600075</xdr:colOff>
      <xdr:row>34</xdr:row>
      <xdr:rowOff>171449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8E0E63C-AA4A-4124-A426-F45FF3361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200025</xdr:colOff>
      <xdr:row>9</xdr:row>
      <xdr:rowOff>138112</xdr:rowOff>
    </xdr:from>
    <xdr:to>
      <xdr:col>28</xdr:col>
      <xdr:colOff>314325</xdr:colOff>
      <xdr:row>34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7DD7B88-AFAC-4709-A2BC-CECD4AD22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1586</xdr:rowOff>
    </xdr:from>
    <xdr:to>
      <xdr:col>17</xdr:col>
      <xdr:colOff>0</xdr:colOff>
      <xdr:row>32</xdr:row>
      <xdr:rowOff>31749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87E91D5-0B2E-83BD-E31A-874A2216C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9524</xdr:colOff>
      <xdr:row>11</xdr:row>
      <xdr:rowOff>169861</xdr:rowOff>
    </xdr:from>
    <xdr:to>
      <xdr:col>31</xdr:col>
      <xdr:colOff>603249</xdr:colOff>
      <xdr:row>34</xdr:row>
      <xdr:rowOff>66675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6C61D7E-1F22-E52A-CA03-E73A18D3B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2:AH7"/>
  <sheetViews>
    <sheetView topLeftCell="A4" zoomScale="85" zoomScaleNormal="85" workbookViewId="0">
      <selection activeCell="U36" sqref="U36"/>
    </sheetView>
  </sheetViews>
  <sheetFormatPr defaultRowHeight="14.5" x14ac:dyDescent="0.35"/>
  <cols>
    <col min="1" max="1" width="10.81640625" bestFit="1" customWidth="1"/>
    <col min="8" max="13" width="9.1796875" bestFit="1" customWidth="1"/>
  </cols>
  <sheetData>
    <row r="2" spans="1:34" x14ac:dyDescent="0.35">
      <c r="A2" s="1"/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AB2" t="s">
        <v>12</v>
      </c>
      <c r="AC2">
        <f>((H5-B5)/1000)*COS(RADIANS(20))/$H$3</f>
        <v>6.2378504699806383E-3</v>
      </c>
      <c r="AD2">
        <f t="shared" ref="AD2:AH2" si="0">((I5-C5)/1000)*COS(RADIANS(20))/$H$3</f>
        <v>6.4206633980244433E-3</v>
      </c>
      <c r="AE2">
        <f t="shared" si="0"/>
        <v>7.1331212577839418E-3</v>
      </c>
      <c r="AF2">
        <f t="shared" si="0"/>
        <v>8.4042690939016076E-3</v>
      </c>
      <c r="AG2">
        <f t="shared" si="0"/>
        <v>1.2545750753510771E-2</v>
      </c>
      <c r="AH2">
        <f t="shared" si="0"/>
        <v>1.6388239306506246E-2</v>
      </c>
    </row>
    <row r="3" spans="1:34" x14ac:dyDescent="0.35">
      <c r="A3" s="1"/>
      <c r="B3" s="10">
        <v>0</v>
      </c>
      <c r="C3" s="10"/>
      <c r="D3" s="10"/>
      <c r="E3" s="10"/>
      <c r="F3" s="10"/>
      <c r="G3" s="10"/>
      <c r="H3" s="11">
        <v>5.5</v>
      </c>
      <c r="I3" s="11"/>
      <c r="J3" s="11"/>
      <c r="K3" s="11"/>
      <c r="L3" s="11"/>
      <c r="M3" s="11"/>
      <c r="N3" s="10">
        <v>4.1500000000000004</v>
      </c>
      <c r="O3" s="10"/>
      <c r="P3" s="10"/>
      <c r="Q3" s="10"/>
      <c r="R3" s="10"/>
      <c r="S3" s="10"/>
      <c r="T3" s="10">
        <v>1.35</v>
      </c>
      <c r="U3" s="10"/>
      <c r="V3" s="10"/>
      <c r="W3" s="10"/>
      <c r="X3" s="10"/>
      <c r="Y3" s="10"/>
    </row>
    <row r="4" spans="1:34" x14ac:dyDescent="0.35">
      <c r="A4" s="1" t="s">
        <v>0</v>
      </c>
      <c r="B4" s="1">
        <v>50</v>
      </c>
      <c r="C4" s="1">
        <v>100</v>
      </c>
      <c r="D4" s="1">
        <v>200</v>
      </c>
      <c r="E4" s="1">
        <v>300</v>
      </c>
      <c r="F4" s="1">
        <v>400</v>
      </c>
      <c r="G4" s="1">
        <v>500</v>
      </c>
      <c r="H4" s="1">
        <v>50</v>
      </c>
      <c r="I4" s="1">
        <v>100</v>
      </c>
      <c r="J4" s="1">
        <v>200</v>
      </c>
      <c r="K4" s="1">
        <v>300</v>
      </c>
      <c r="L4" s="1">
        <v>400</v>
      </c>
      <c r="M4" s="1">
        <v>500</v>
      </c>
      <c r="N4" s="1">
        <v>50</v>
      </c>
      <c r="O4" s="1">
        <v>100</v>
      </c>
      <c r="P4" s="1">
        <v>200</v>
      </c>
      <c r="Q4" s="1">
        <v>300</v>
      </c>
      <c r="R4" s="1">
        <v>400</v>
      </c>
      <c r="S4" s="1">
        <v>500</v>
      </c>
      <c r="T4" s="1">
        <v>50</v>
      </c>
      <c r="U4" s="1">
        <v>100</v>
      </c>
      <c r="V4" s="1">
        <v>200</v>
      </c>
      <c r="W4" s="1">
        <v>300</v>
      </c>
      <c r="X4" s="1">
        <v>400</v>
      </c>
      <c r="Y4" s="1">
        <v>500</v>
      </c>
    </row>
    <row r="5" spans="1:34" x14ac:dyDescent="0.35">
      <c r="A5" s="1" t="s">
        <v>1</v>
      </c>
      <c r="B5" s="1">
        <v>41.09</v>
      </c>
      <c r="C5" s="1">
        <v>45.12</v>
      </c>
      <c r="D5" s="1">
        <v>51.55</v>
      </c>
      <c r="E5" s="1">
        <v>55.71</v>
      </c>
      <c r="F5" s="1">
        <v>56.77</v>
      </c>
      <c r="G5" s="1">
        <v>57.38</v>
      </c>
      <c r="H5" s="1">
        <v>77.599999999999994</v>
      </c>
      <c r="I5" s="1">
        <v>82.7</v>
      </c>
      <c r="J5" s="1">
        <v>93.3</v>
      </c>
      <c r="K5" s="1">
        <v>104.9</v>
      </c>
      <c r="L5" s="1">
        <v>130.19999999999999</v>
      </c>
      <c r="M5" s="1">
        <v>153.30000000000001</v>
      </c>
      <c r="N5" s="1">
        <v>119.8</v>
      </c>
      <c r="O5" s="1">
        <v>120.5</v>
      </c>
      <c r="P5" s="1">
        <v>129</v>
      </c>
      <c r="Q5" s="1">
        <v>143</v>
      </c>
      <c r="R5" s="1">
        <v>158.5</v>
      </c>
      <c r="S5" s="1">
        <v>178</v>
      </c>
      <c r="T5" s="1">
        <v>75.5</v>
      </c>
      <c r="U5" s="1">
        <v>77.56</v>
      </c>
      <c r="V5" s="1">
        <v>84.4</v>
      </c>
      <c r="W5" s="1">
        <v>97.41</v>
      </c>
      <c r="X5" s="1">
        <v>111.01</v>
      </c>
      <c r="Y5" s="1">
        <v>121.23</v>
      </c>
    </row>
    <row r="6" spans="1:34" x14ac:dyDescent="0.35">
      <c r="A6" s="1" t="s">
        <v>3</v>
      </c>
      <c r="B6" s="10" t="s">
        <v>7</v>
      </c>
      <c r="C6" s="10"/>
      <c r="D6" s="10"/>
      <c r="E6" s="10"/>
      <c r="F6" s="10"/>
      <c r="G6" s="10"/>
      <c r="H6" s="2">
        <f>1-(H5-B5)/(2*$H$3*1000)</f>
        <v>0.99668090909090912</v>
      </c>
      <c r="I6" s="2">
        <f t="shared" ref="I6:M6" si="1">1-(I5-C5)/(2*$H$3*1000)</f>
        <v>0.99658363636363634</v>
      </c>
      <c r="J6" s="2">
        <f t="shared" si="1"/>
        <v>0.99620454545454551</v>
      </c>
      <c r="K6" s="2">
        <f t="shared" si="1"/>
        <v>0.99552818181818181</v>
      </c>
      <c r="L6" s="2">
        <f t="shared" si="1"/>
        <v>0.9933245454545454</v>
      </c>
      <c r="M6" s="2">
        <f t="shared" si="1"/>
        <v>0.99128000000000005</v>
      </c>
      <c r="N6" s="2">
        <f>1-(N5-B5)/(2*$N$3*1000)</f>
        <v>0.99051686746987955</v>
      </c>
      <c r="O6" s="2">
        <f t="shared" ref="O6:S6" si="2">1-(O5-C5)/(2*$N$3*1000)</f>
        <v>0.99091807228915663</v>
      </c>
      <c r="P6" s="2">
        <f t="shared" si="2"/>
        <v>0.99066867469879516</v>
      </c>
      <c r="Q6" s="2">
        <f t="shared" si="2"/>
        <v>0.98948313253012043</v>
      </c>
      <c r="R6" s="2">
        <f t="shared" si="2"/>
        <v>0.9877433734939759</v>
      </c>
      <c r="S6" s="2">
        <f t="shared" si="2"/>
        <v>0.98546746987951805</v>
      </c>
      <c r="T6" s="2">
        <f>1-(T5-B5)/(2*$T$3*1000)</f>
        <v>0.98725555555555555</v>
      </c>
      <c r="U6" s="2">
        <f t="shared" ref="U6:Y6" si="3">1-(U5-C5)/(2*$T$3*1000)</f>
        <v>0.98798518518518519</v>
      </c>
      <c r="V6" s="2">
        <f t="shared" si="3"/>
        <v>0.98783333333333334</v>
      </c>
      <c r="W6" s="2">
        <f t="shared" si="3"/>
        <v>0.98455555555555552</v>
      </c>
      <c r="X6" s="2">
        <f t="shared" si="3"/>
        <v>0.97991111111111107</v>
      </c>
      <c r="Y6" s="2">
        <f t="shared" si="3"/>
        <v>0.9763518518518518</v>
      </c>
    </row>
    <row r="7" spans="1:34" x14ac:dyDescent="0.35">
      <c r="A7" s="1" t="s">
        <v>4</v>
      </c>
      <c r="B7" s="7" t="s">
        <v>7</v>
      </c>
      <c r="C7" s="8"/>
      <c r="D7" s="8"/>
      <c r="E7" s="8"/>
      <c r="F7" s="8"/>
      <c r="G7" s="9"/>
      <c r="H7" s="2">
        <f>1-H5/(2*$H$3*1000)</f>
        <v>0.99294545454545458</v>
      </c>
      <c r="I7" s="2">
        <f t="shared" ref="I7:M7" si="4">1-I5/(2*$H$3*1000)</f>
        <v>0.99248181818181813</v>
      </c>
      <c r="J7" s="2">
        <f t="shared" si="4"/>
        <v>0.99151818181818185</v>
      </c>
      <c r="K7" s="2">
        <f t="shared" si="4"/>
        <v>0.99046363636363632</v>
      </c>
      <c r="L7" s="2">
        <f t="shared" si="4"/>
        <v>0.98816363636363636</v>
      </c>
      <c r="M7" s="2">
        <f t="shared" si="4"/>
        <v>0.98606363636363636</v>
      </c>
      <c r="N7" s="2">
        <f>1-N5/(2*$N$3*1000)</f>
        <v>0.98556626506024092</v>
      </c>
      <c r="O7" s="2">
        <f t="shared" ref="O7:S7" si="5">1-O5/(2*$N$3*1000)</f>
        <v>0.98548192771084342</v>
      </c>
      <c r="P7" s="2">
        <f t="shared" si="5"/>
        <v>0.98445783132530118</v>
      </c>
      <c r="Q7" s="2">
        <f t="shared" si="5"/>
        <v>0.98277108433734939</v>
      </c>
      <c r="R7" s="2">
        <f t="shared" si="5"/>
        <v>0.98090361445783136</v>
      </c>
      <c r="S7" s="2">
        <f t="shared" si="5"/>
        <v>0.97855421686746991</v>
      </c>
      <c r="T7" s="2">
        <f>1-T5/(2*$T$3*1000)</f>
        <v>0.97203703703703703</v>
      </c>
      <c r="U7" s="2">
        <f t="shared" ref="U7:Y7" si="6">1-U5/(2*$T$3*1000)</f>
        <v>0.97127407407407407</v>
      </c>
      <c r="V7" s="2">
        <f t="shared" si="6"/>
        <v>0.96874074074074068</v>
      </c>
      <c r="W7" s="2">
        <f t="shared" si="6"/>
        <v>0.96392222222222224</v>
      </c>
      <c r="X7" s="2">
        <f t="shared" si="6"/>
        <v>0.95888518518518517</v>
      </c>
      <c r="Y7" s="2">
        <f t="shared" si="6"/>
        <v>0.95509999999999995</v>
      </c>
    </row>
  </sheetData>
  <mergeCells count="7">
    <mergeCell ref="B7:G7"/>
    <mergeCell ref="B6:G6"/>
    <mergeCell ref="T3:Y3"/>
    <mergeCell ref="B2:Y2"/>
    <mergeCell ref="B3:G3"/>
    <mergeCell ref="H3:M3"/>
    <mergeCell ref="N3:S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D15B-DA39-4982-B80B-7ECBA8840889}">
  <sheetPr codeName="Arkusz2"/>
  <dimension ref="B2:F9"/>
  <sheetViews>
    <sheetView workbookViewId="0">
      <selection activeCell="F9" sqref="B2:F9"/>
    </sheetView>
  </sheetViews>
  <sheetFormatPr defaultRowHeight="14.5" x14ac:dyDescent="0.35"/>
  <sheetData>
    <row r="2" spans="2:6" x14ac:dyDescent="0.35">
      <c r="B2" s="1" t="s">
        <v>6</v>
      </c>
      <c r="C2" s="1">
        <v>0</v>
      </c>
      <c r="D2" s="1">
        <v>1.35</v>
      </c>
      <c r="E2" s="1">
        <v>4.1500000000000004</v>
      </c>
      <c r="F2" s="1">
        <v>5.5</v>
      </c>
    </row>
    <row r="3" spans="2:6" x14ac:dyDescent="0.35">
      <c r="B3" s="1" t="s">
        <v>0</v>
      </c>
      <c r="C3" s="10" t="s">
        <v>5</v>
      </c>
      <c r="D3" s="10"/>
      <c r="E3" s="10"/>
      <c r="F3" s="10"/>
    </row>
    <row r="4" spans="2:6" x14ac:dyDescent="0.35">
      <c r="B4" s="1">
        <v>50</v>
      </c>
      <c r="C4" s="1">
        <v>42.19</v>
      </c>
      <c r="D4" s="1">
        <v>48.24</v>
      </c>
      <c r="E4" s="1">
        <v>48.99</v>
      </c>
      <c r="F4" s="1">
        <v>50.81</v>
      </c>
    </row>
    <row r="5" spans="2:6" x14ac:dyDescent="0.35">
      <c r="B5" s="1">
        <v>100</v>
      </c>
      <c r="C5" s="1">
        <v>49.99</v>
      </c>
      <c r="D5" s="1">
        <v>58.04</v>
      </c>
      <c r="E5" s="1">
        <v>59.26</v>
      </c>
      <c r="F5" s="1">
        <v>61.7</v>
      </c>
    </row>
    <row r="6" spans="2:6" x14ac:dyDescent="0.35">
      <c r="B6" s="1">
        <v>200</v>
      </c>
      <c r="C6" s="1">
        <v>56.83</v>
      </c>
      <c r="D6" s="1">
        <v>66.97</v>
      </c>
      <c r="E6" s="1">
        <v>69.88</v>
      </c>
      <c r="F6" s="1">
        <v>71.48</v>
      </c>
    </row>
    <row r="7" spans="2:6" x14ac:dyDescent="0.35">
      <c r="B7" s="1">
        <v>300</v>
      </c>
      <c r="C7" s="1">
        <v>61.99</v>
      </c>
      <c r="D7" s="1">
        <v>71.13</v>
      </c>
      <c r="E7" s="1">
        <v>74.38</v>
      </c>
      <c r="F7" s="1">
        <v>75.72</v>
      </c>
    </row>
    <row r="8" spans="2:6" x14ac:dyDescent="0.35">
      <c r="B8" s="1">
        <v>400</v>
      </c>
      <c r="C8" s="1">
        <v>65.83</v>
      </c>
      <c r="D8" s="1">
        <v>73.72</v>
      </c>
      <c r="E8" s="1">
        <v>76.08</v>
      </c>
      <c r="F8" s="1">
        <v>76.56</v>
      </c>
    </row>
    <row r="9" spans="2:6" x14ac:dyDescent="0.35">
      <c r="B9" s="1">
        <v>500</v>
      </c>
      <c r="C9" s="1">
        <v>67.34</v>
      </c>
      <c r="D9" s="1">
        <v>74.86</v>
      </c>
      <c r="E9" s="1">
        <v>76.599999999999994</v>
      </c>
      <c r="F9" s="1">
        <v>76.34</v>
      </c>
    </row>
  </sheetData>
  <mergeCells count="1">
    <mergeCell ref="C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41A5-F33C-440B-9414-AE5A35976514}">
  <sheetPr codeName="Arkusz3"/>
  <dimension ref="A2:Y7"/>
  <sheetViews>
    <sheetView zoomScale="70" zoomScaleNormal="70" workbookViewId="0">
      <selection activeCell="Q41" sqref="Q41"/>
    </sheetView>
  </sheetViews>
  <sheetFormatPr defaultRowHeight="14.5" x14ac:dyDescent="0.35"/>
  <cols>
    <col min="1" max="1" width="10.81640625" bestFit="1" customWidth="1"/>
    <col min="8" max="13" width="9.1796875" bestFit="1" customWidth="1"/>
  </cols>
  <sheetData>
    <row r="2" spans="1:25" x14ac:dyDescent="0.35">
      <c r="A2" s="1"/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x14ac:dyDescent="0.35">
      <c r="A3" s="1"/>
      <c r="B3" s="10">
        <v>0</v>
      </c>
      <c r="C3" s="10"/>
      <c r="D3" s="10"/>
      <c r="E3" s="10"/>
      <c r="F3" s="10"/>
      <c r="G3" s="10"/>
      <c r="H3" s="11">
        <v>5.5</v>
      </c>
      <c r="I3" s="11"/>
      <c r="J3" s="11"/>
      <c r="K3" s="11"/>
      <c r="L3" s="11"/>
      <c r="M3" s="11"/>
      <c r="N3" s="10">
        <v>4.1500000000000004</v>
      </c>
      <c r="O3" s="10"/>
      <c r="P3" s="10"/>
      <c r="Q3" s="10"/>
      <c r="R3" s="10"/>
      <c r="S3" s="10"/>
      <c r="T3" s="10">
        <v>1.35</v>
      </c>
      <c r="U3" s="10"/>
      <c r="V3" s="10"/>
      <c r="W3" s="10"/>
      <c r="X3" s="10"/>
      <c r="Y3" s="10"/>
    </row>
    <row r="4" spans="1:25" x14ac:dyDescent="0.35">
      <c r="A4" s="1" t="s">
        <v>0</v>
      </c>
      <c r="B4" s="1">
        <v>50</v>
      </c>
      <c r="C4" s="1">
        <v>100</v>
      </c>
      <c r="D4" s="1">
        <v>200</v>
      </c>
      <c r="E4" s="1">
        <v>300</v>
      </c>
      <c r="F4" s="1">
        <v>400</v>
      </c>
      <c r="G4" s="1">
        <v>500</v>
      </c>
      <c r="H4" s="1">
        <v>50</v>
      </c>
      <c r="I4" s="1">
        <v>100</v>
      </c>
      <c r="J4" s="1">
        <v>200</v>
      </c>
      <c r="K4" s="1">
        <v>300</v>
      </c>
      <c r="L4" s="1">
        <v>400</v>
      </c>
      <c r="M4" s="1">
        <v>500</v>
      </c>
      <c r="N4" s="1">
        <v>50</v>
      </c>
      <c r="O4" s="1">
        <v>100</v>
      </c>
      <c r="P4" s="1">
        <v>200</v>
      </c>
      <c r="Q4" s="1">
        <v>300</v>
      </c>
      <c r="R4" s="1">
        <v>400</v>
      </c>
      <c r="S4" s="1">
        <v>500</v>
      </c>
      <c r="T4" s="1">
        <v>50</v>
      </c>
      <c r="U4" s="1">
        <v>100</v>
      </c>
      <c r="V4" s="1">
        <v>200</v>
      </c>
      <c r="W4" s="1">
        <v>300</v>
      </c>
      <c r="X4" s="1">
        <v>400</v>
      </c>
      <c r="Y4" s="1">
        <v>500</v>
      </c>
    </row>
    <row r="5" spans="1:25" x14ac:dyDescent="0.35">
      <c r="A5" s="1" t="s">
        <v>1</v>
      </c>
      <c r="B5" s="1">
        <v>41.7</v>
      </c>
      <c r="C5" s="1">
        <v>43.77</v>
      </c>
      <c r="D5" s="1">
        <v>46.55</v>
      </c>
      <c r="E5" s="1">
        <v>53.32</v>
      </c>
      <c r="F5" s="1">
        <v>56</v>
      </c>
      <c r="G5" s="1">
        <v>59.34</v>
      </c>
      <c r="H5" s="1">
        <v>67.44</v>
      </c>
      <c r="I5" s="1">
        <v>66.959999999999994</v>
      </c>
      <c r="J5" s="1">
        <v>64.709999999999994</v>
      </c>
      <c r="K5" s="1">
        <v>78.63</v>
      </c>
      <c r="L5" s="1">
        <v>85</v>
      </c>
      <c r="M5" s="1">
        <v>100.02</v>
      </c>
      <c r="N5" s="1">
        <v>89.39</v>
      </c>
      <c r="O5" s="1">
        <v>81.34</v>
      </c>
      <c r="P5" s="1">
        <v>83.16</v>
      </c>
      <c r="Q5" s="1">
        <v>93.52</v>
      </c>
      <c r="R5" s="1">
        <v>105.3</v>
      </c>
      <c r="S5" s="1">
        <v>116.9</v>
      </c>
      <c r="T5" s="1">
        <v>59.61</v>
      </c>
      <c r="U5" s="1">
        <v>58.74</v>
      </c>
      <c r="V5" s="1">
        <v>61.01</v>
      </c>
      <c r="W5" s="1">
        <v>68.489999999999995</v>
      </c>
      <c r="X5" s="1">
        <v>73.650000000000006</v>
      </c>
      <c r="Y5" s="1">
        <v>81.99</v>
      </c>
    </row>
    <row r="6" spans="1:25" x14ac:dyDescent="0.35">
      <c r="A6" s="1" t="s">
        <v>3</v>
      </c>
      <c r="B6" s="10" t="s">
        <v>7</v>
      </c>
      <c r="C6" s="10"/>
      <c r="D6" s="10"/>
      <c r="E6" s="10"/>
      <c r="F6" s="10"/>
      <c r="G6" s="10"/>
      <c r="H6" s="2">
        <f>1-(H5-B5)/(2*$H$3*1000)</f>
        <v>0.99765999999999999</v>
      </c>
      <c r="I6" s="2">
        <f t="shared" ref="I6:M6" si="0">1-(I5-C5)/(2*$H$3*1000)</f>
        <v>0.99789181818181816</v>
      </c>
      <c r="J6" s="2">
        <f t="shared" si="0"/>
        <v>0.99834909090909096</v>
      </c>
      <c r="K6" s="2">
        <f t="shared" si="0"/>
        <v>0.99769909090909092</v>
      </c>
      <c r="L6" s="2">
        <f t="shared" si="0"/>
        <v>0.99736363636363634</v>
      </c>
      <c r="M6" s="2">
        <f t="shared" si="0"/>
        <v>0.99630181818181818</v>
      </c>
      <c r="N6" s="2">
        <f>1-(N5-B5)/(2*$N$3*1000)</f>
        <v>0.99425421686746984</v>
      </c>
      <c r="O6" s="2">
        <f t="shared" ref="O6:S6" si="1">1-(O5-C5)/(2*$N$3*1000)</f>
        <v>0.99547349397590357</v>
      </c>
      <c r="P6" s="2">
        <f t="shared" si="1"/>
        <v>0.99558915662650604</v>
      </c>
      <c r="Q6" s="2">
        <f t="shared" si="1"/>
        <v>0.9951566265060241</v>
      </c>
      <c r="R6" s="2">
        <f t="shared" si="1"/>
        <v>0.99406024096385537</v>
      </c>
      <c r="S6" s="2">
        <f t="shared" si="1"/>
        <v>0.99306506024096386</v>
      </c>
      <c r="T6" s="2">
        <f>1-(T5-B5)/(2*$T$3*1000)</f>
        <v>0.99336666666666662</v>
      </c>
      <c r="U6" s="2">
        <f t="shared" ref="U6:Y6" si="2">1-(U5-C5)/(2*$T$3*1000)</f>
        <v>0.99445555555555554</v>
      </c>
      <c r="V6" s="2">
        <f t="shared" si="2"/>
        <v>0.99464444444444444</v>
      </c>
      <c r="W6" s="2">
        <f t="shared" si="2"/>
        <v>0.99438148148148153</v>
      </c>
      <c r="X6" s="2">
        <f t="shared" si="2"/>
        <v>0.99346296296296299</v>
      </c>
      <c r="Y6" s="2">
        <f t="shared" si="2"/>
        <v>0.99161111111111111</v>
      </c>
    </row>
    <row r="7" spans="1:25" x14ac:dyDescent="0.35">
      <c r="A7" s="1" t="s">
        <v>4</v>
      </c>
      <c r="B7" s="7" t="s">
        <v>7</v>
      </c>
      <c r="C7" s="8"/>
      <c r="D7" s="8"/>
      <c r="E7" s="8"/>
      <c r="F7" s="8"/>
      <c r="G7" s="9"/>
      <c r="H7" s="2">
        <f>1-H5/(2*$H$3*1000)</f>
        <v>0.99386909090909092</v>
      </c>
      <c r="I7" s="2">
        <f t="shared" ref="I7:M7" si="3">1-I5/(2*$H$3*1000)</f>
        <v>0.99391272727272728</v>
      </c>
      <c r="J7" s="2">
        <f t="shared" si="3"/>
        <v>0.99411727272727268</v>
      </c>
      <c r="K7" s="2">
        <f t="shared" si="3"/>
        <v>0.99285181818181822</v>
      </c>
      <c r="L7" s="2">
        <f t="shared" si="3"/>
        <v>0.99227272727272731</v>
      </c>
      <c r="M7" s="2">
        <f t="shared" si="3"/>
        <v>0.99090727272727275</v>
      </c>
      <c r="N7" s="2">
        <f>1-N5/(2*$N$3*1000)</f>
        <v>0.98923012048192771</v>
      </c>
      <c r="O7" s="2">
        <f t="shared" ref="O7:S7" si="4">1-O5/(2*$N$3*1000)</f>
        <v>0.99019999999999997</v>
      </c>
      <c r="P7" s="2">
        <f t="shared" si="4"/>
        <v>0.98998072289156624</v>
      </c>
      <c r="Q7" s="2">
        <f t="shared" si="4"/>
        <v>0.9887325301204819</v>
      </c>
      <c r="R7" s="2">
        <f t="shared" si="4"/>
        <v>0.9873132530120482</v>
      </c>
      <c r="S7" s="2">
        <f t="shared" si="4"/>
        <v>0.98591566265060238</v>
      </c>
      <c r="T7" s="2">
        <f>1-T5/(2*$T$3*1000)</f>
        <v>0.97792222222222225</v>
      </c>
      <c r="U7" s="2">
        <f t="shared" ref="U7:Y7" si="5">1-U5/(2*$T$3*1000)</f>
        <v>0.97824444444444447</v>
      </c>
      <c r="V7" s="2">
        <f t="shared" si="5"/>
        <v>0.97740370370370366</v>
      </c>
      <c r="W7" s="2">
        <f t="shared" si="5"/>
        <v>0.97463333333333335</v>
      </c>
      <c r="X7" s="2">
        <f t="shared" si="5"/>
        <v>0.97272222222222227</v>
      </c>
      <c r="Y7" s="2">
        <f t="shared" si="5"/>
        <v>0.96963333333333335</v>
      </c>
    </row>
  </sheetData>
  <mergeCells count="7">
    <mergeCell ref="B7:G7"/>
    <mergeCell ref="B2:Y2"/>
    <mergeCell ref="B3:G3"/>
    <mergeCell ref="H3:M3"/>
    <mergeCell ref="N3:S3"/>
    <mergeCell ref="T3:Y3"/>
    <mergeCell ref="B6:G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A4E5-0CE0-467B-A838-52092A3E8DCB}">
  <sheetPr codeName="Arkusz4"/>
  <dimension ref="B2:F9"/>
  <sheetViews>
    <sheetView workbookViewId="0">
      <selection activeCell="B2" sqref="B2:F9"/>
    </sheetView>
  </sheetViews>
  <sheetFormatPr defaultRowHeight="14.5" x14ac:dyDescent="0.35"/>
  <sheetData>
    <row r="2" spans="2:6" x14ac:dyDescent="0.35">
      <c r="B2" s="1" t="s">
        <v>6</v>
      </c>
      <c r="C2" s="1">
        <v>0</v>
      </c>
      <c r="D2" s="1">
        <v>1.35</v>
      </c>
      <c r="E2" s="1">
        <v>4.1500000000000004</v>
      </c>
      <c r="F2" s="1">
        <v>5.5</v>
      </c>
    </row>
    <row r="3" spans="2:6" x14ac:dyDescent="0.35">
      <c r="B3" s="1" t="s">
        <v>0</v>
      </c>
      <c r="C3" s="10" t="s">
        <v>5</v>
      </c>
      <c r="D3" s="10"/>
      <c r="E3" s="10"/>
      <c r="F3" s="10"/>
    </row>
    <row r="4" spans="2:6" x14ac:dyDescent="0.35">
      <c r="B4" s="1">
        <v>50</v>
      </c>
      <c r="C4" s="1">
        <v>41.24</v>
      </c>
      <c r="D4" s="1">
        <v>44.44</v>
      </c>
      <c r="E4" s="1">
        <v>45.24</v>
      </c>
      <c r="F4" s="1">
        <v>44.36</v>
      </c>
    </row>
    <row r="5" spans="2:6" x14ac:dyDescent="0.35">
      <c r="B5" s="1">
        <v>100</v>
      </c>
      <c r="C5" s="1">
        <v>48.4</v>
      </c>
      <c r="D5" s="1">
        <v>53.04</v>
      </c>
      <c r="E5" s="1">
        <v>55.06</v>
      </c>
      <c r="F5" s="1">
        <v>52.89</v>
      </c>
    </row>
    <row r="6" spans="2:6" x14ac:dyDescent="0.35">
      <c r="B6" s="1">
        <v>200</v>
      </c>
      <c r="C6" s="1">
        <v>53.55</v>
      </c>
      <c r="D6" s="1">
        <v>60.06</v>
      </c>
      <c r="E6" s="1">
        <v>65.61</v>
      </c>
      <c r="F6" s="1">
        <v>62.88</v>
      </c>
    </row>
    <row r="7" spans="2:6" x14ac:dyDescent="0.35">
      <c r="B7" s="1">
        <v>300</v>
      </c>
      <c r="C7" s="1">
        <v>58.72</v>
      </c>
      <c r="D7" s="1">
        <v>65.709999999999994</v>
      </c>
      <c r="E7" s="1">
        <v>69.41</v>
      </c>
      <c r="F7" s="1">
        <v>68.650000000000006</v>
      </c>
    </row>
    <row r="8" spans="2:6" x14ac:dyDescent="0.35">
      <c r="B8" s="1">
        <v>400</v>
      </c>
      <c r="C8" s="1">
        <v>62.7</v>
      </c>
      <c r="D8" s="1">
        <v>67.38</v>
      </c>
      <c r="E8" s="1">
        <v>73.12</v>
      </c>
      <c r="F8" s="1">
        <v>70.56</v>
      </c>
    </row>
    <row r="9" spans="2:6" x14ac:dyDescent="0.35">
      <c r="B9" s="1">
        <v>500</v>
      </c>
      <c r="C9" s="1">
        <v>65.06</v>
      </c>
      <c r="D9" s="1">
        <v>68.739999999999995</v>
      </c>
      <c r="E9" s="1">
        <v>74.08</v>
      </c>
      <c r="F9" s="1">
        <v>71.760000000000005</v>
      </c>
    </row>
  </sheetData>
  <mergeCells count="1">
    <mergeCell ref="C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3E7-0827-4982-9744-82D846BC97F6}">
  <dimension ref="B1:AC10"/>
  <sheetViews>
    <sheetView workbookViewId="0">
      <selection activeCell="AE6" sqref="AE6"/>
    </sheetView>
  </sheetViews>
  <sheetFormatPr defaultRowHeight="14.5" x14ac:dyDescent="0.35"/>
  <sheetData>
    <row r="1" spans="2:29" x14ac:dyDescent="0.35">
      <c r="C1" s="12"/>
      <c r="D1" s="12"/>
      <c r="E1" s="12"/>
      <c r="F1" s="12"/>
      <c r="G1" s="12"/>
      <c r="H1" s="12"/>
    </row>
    <row r="2" spans="2:29" x14ac:dyDescent="0.35">
      <c r="C2" s="10" t="s">
        <v>9</v>
      </c>
      <c r="D2" s="10"/>
      <c r="E2" s="10"/>
      <c r="F2" s="10"/>
      <c r="G2" s="10"/>
      <c r="H2" s="10"/>
      <c r="I2" s="7" t="s">
        <v>10</v>
      </c>
      <c r="J2" s="8"/>
      <c r="K2" s="8"/>
      <c r="L2" s="8"/>
      <c r="M2" s="8"/>
      <c r="N2" s="9"/>
      <c r="T2" s="10" t="s">
        <v>9</v>
      </c>
      <c r="U2" s="10"/>
      <c r="V2" s="10"/>
      <c r="W2" s="10"/>
      <c r="X2" s="10"/>
      <c r="Y2" s="10" t="s">
        <v>10</v>
      </c>
      <c r="Z2" s="10"/>
      <c r="AA2" s="10"/>
      <c r="AB2" s="10"/>
      <c r="AC2" s="10"/>
    </row>
    <row r="3" spans="2:29" x14ac:dyDescent="0.35">
      <c r="B3" s="4" t="s">
        <v>8</v>
      </c>
      <c r="C3" s="11">
        <v>5.5</v>
      </c>
      <c r="D3" s="11"/>
      <c r="E3" s="11"/>
      <c r="F3" s="11"/>
      <c r="G3" s="11"/>
      <c r="H3" s="11"/>
      <c r="I3" s="11">
        <v>5.5</v>
      </c>
      <c r="J3" s="11"/>
      <c r="K3" s="11"/>
      <c r="L3" s="11"/>
      <c r="M3" s="11"/>
      <c r="N3" s="11"/>
      <c r="T3" s="1" t="s">
        <v>6</v>
      </c>
      <c r="U3" s="1">
        <v>0</v>
      </c>
      <c r="V3" s="1">
        <v>1.35</v>
      </c>
      <c r="W3" s="1">
        <v>4.1500000000000004</v>
      </c>
      <c r="X3" s="1">
        <v>5.5</v>
      </c>
      <c r="Y3" s="1" t="s">
        <v>6</v>
      </c>
      <c r="Z3" s="1">
        <v>0</v>
      </c>
      <c r="AA3" s="1">
        <v>1.35</v>
      </c>
      <c r="AB3" s="1">
        <v>4.1500000000000004</v>
      </c>
      <c r="AC3" s="1">
        <v>5.5</v>
      </c>
    </row>
    <row r="4" spans="2:29" x14ac:dyDescent="0.35">
      <c r="B4" s="4" t="s">
        <v>0</v>
      </c>
      <c r="C4" s="1">
        <v>50</v>
      </c>
      <c r="D4" s="1">
        <v>100</v>
      </c>
      <c r="E4" s="1">
        <v>200</v>
      </c>
      <c r="F4" s="1">
        <v>300</v>
      </c>
      <c r="G4" s="1">
        <v>400</v>
      </c>
      <c r="H4" s="1">
        <v>500</v>
      </c>
      <c r="I4" s="1">
        <v>50</v>
      </c>
      <c r="J4" s="1">
        <v>100</v>
      </c>
      <c r="K4" s="1">
        <v>200</v>
      </c>
      <c r="L4" s="1">
        <v>300</v>
      </c>
      <c r="M4" s="1">
        <v>400</v>
      </c>
      <c r="N4" s="1">
        <v>500</v>
      </c>
      <c r="T4" s="1" t="s">
        <v>0</v>
      </c>
      <c r="U4" s="10" t="s">
        <v>5</v>
      </c>
      <c r="V4" s="10"/>
      <c r="W4" s="10"/>
      <c r="X4" s="10"/>
      <c r="Y4" s="1" t="s">
        <v>0</v>
      </c>
      <c r="Z4" s="10" t="s">
        <v>5</v>
      </c>
      <c r="AA4" s="10"/>
      <c r="AB4" s="10"/>
      <c r="AC4" s="10"/>
    </row>
    <row r="5" spans="2:29" x14ac:dyDescent="0.35">
      <c r="B5" s="4" t="s">
        <v>1</v>
      </c>
      <c r="C5" s="1">
        <v>77.599999999999994</v>
      </c>
      <c r="D5" s="1">
        <v>82.7</v>
      </c>
      <c r="E5" s="1">
        <v>93.3</v>
      </c>
      <c r="F5" s="1">
        <v>104.9</v>
      </c>
      <c r="G5" s="1">
        <v>130.19999999999999</v>
      </c>
      <c r="H5" s="1">
        <v>153.30000000000001</v>
      </c>
      <c r="I5" s="1">
        <v>67.44</v>
      </c>
      <c r="J5" s="1">
        <v>66.959999999999994</v>
      </c>
      <c r="K5" s="1">
        <v>64.709999999999994</v>
      </c>
      <c r="L5" s="1">
        <v>78.63</v>
      </c>
      <c r="M5" s="1">
        <v>85</v>
      </c>
      <c r="N5" s="1">
        <v>100.02</v>
      </c>
      <c r="T5" s="1">
        <v>50</v>
      </c>
      <c r="U5" s="1">
        <v>42.19</v>
      </c>
      <c r="V5" s="1">
        <v>48.24</v>
      </c>
      <c r="W5" s="1">
        <v>48.99</v>
      </c>
      <c r="X5" s="1">
        <v>50.81</v>
      </c>
      <c r="Y5" s="1">
        <v>50</v>
      </c>
      <c r="Z5" s="1">
        <v>41.24</v>
      </c>
      <c r="AA5" s="1">
        <v>44.44</v>
      </c>
      <c r="AB5" s="1">
        <v>45.24</v>
      </c>
      <c r="AC5" s="1">
        <v>44.36</v>
      </c>
    </row>
    <row r="6" spans="2:29" x14ac:dyDescent="0.35">
      <c r="B6" s="4" t="s">
        <v>3</v>
      </c>
      <c r="C6" s="3">
        <v>0.99668090909090912</v>
      </c>
      <c r="D6" s="3">
        <v>0.99658363636363634</v>
      </c>
      <c r="E6" s="3">
        <v>0.99620454545454551</v>
      </c>
      <c r="F6" s="3">
        <v>0.99552818181818181</v>
      </c>
      <c r="G6" s="3">
        <v>0.9933245454545454</v>
      </c>
      <c r="H6" s="3">
        <v>0.99128000000000005</v>
      </c>
      <c r="I6" s="3">
        <v>0.99765999999999999</v>
      </c>
      <c r="J6" s="3">
        <v>0.99789181818181816</v>
      </c>
      <c r="K6" s="3">
        <v>0.99834909090909096</v>
      </c>
      <c r="L6" s="3">
        <v>0.99769909090909092</v>
      </c>
      <c r="M6" s="3">
        <v>0.99736363636363634</v>
      </c>
      <c r="N6" s="3">
        <v>0.99630181818181818</v>
      </c>
      <c r="T6" s="1">
        <v>100</v>
      </c>
      <c r="U6" s="1">
        <v>49.99</v>
      </c>
      <c r="V6" s="1">
        <v>58.04</v>
      </c>
      <c r="W6" s="1">
        <v>59.26</v>
      </c>
      <c r="X6" s="1">
        <v>61.7</v>
      </c>
      <c r="Y6" s="1">
        <v>100</v>
      </c>
      <c r="Z6" s="1">
        <v>48.4</v>
      </c>
      <c r="AA6" s="1">
        <v>53.04</v>
      </c>
      <c r="AB6" s="1">
        <v>55.06</v>
      </c>
      <c r="AC6" s="1">
        <v>52.89</v>
      </c>
    </row>
    <row r="7" spans="2:29" x14ac:dyDescent="0.35">
      <c r="B7" s="4" t="s">
        <v>4</v>
      </c>
      <c r="C7" s="3">
        <v>0.99294545454545458</v>
      </c>
      <c r="D7" s="3">
        <v>0.99248181818181813</v>
      </c>
      <c r="E7" s="3">
        <v>0.99151818181818185</v>
      </c>
      <c r="F7" s="3">
        <v>0.99046363636363632</v>
      </c>
      <c r="G7" s="3">
        <v>0.98816363636363636</v>
      </c>
      <c r="H7" s="3">
        <v>0.98606363636363636</v>
      </c>
      <c r="I7" s="3">
        <v>0.99386909090909092</v>
      </c>
      <c r="J7" s="3">
        <v>0.99391272727272728</v>
      </c>
      <c r="K7" s="3">
        <v>0.99411727272727268</v>
      </c>
      <c r="L7" s="3">
        <v>0.99285181818181822</v>
      </c>
      <c r="M7" s="3">
        <v>0.99227272727272731</v>
      </c>
      <c r="N7" s="3">
        <v>0.99090727272727275</v>
      </c>
      <c r="T7" s="1">
        <v>200</v>
      </c>
      <c r="U7" s="1">
        <v>56.83</v>
      </c>
      <c r="V7" s="1">
        <v>66.97</v>
      </c>
      <c r="W7" s="1">
        <v>69.88</v>
      </c>
      <c r="X7" s="1">
        <v>71.48</v>
      </c>
      <c r="Y7" s="1">
        <v>200</v>
      </c>
      <c r="Z7" s="1">
        <v>53.55</v>
      </c>
      <c r="AA7" s="1">
        <v>60.06</v>
      </c>
      <c r="AB7" s="1">
        <v>65.61</v>
      </c>
      <c r="AC7" s="1">
        <v>62.88</v>
      </c>
    </row>
    <row r="8" spans="2:29" x14ac:dyDescent="0.35">
      <c r="T8" s="1">
        <v>300</v>
      </c>
      <c r="U8" s="1">
        <v>61.99</v>
      </c>
      <c r="V8" s="1">
        <v>71.13</v>
      </c>
      <c r="W8" s="1">
        <v>74.38</v>
      </c>
      <c r="X8" s="1">
        <v>75.72</v>
      </c>
      <c r="Y8" s="1">
        <v>300</v>
      </c>
      <c r="Z8" s="1">
        <v>58.72</v>
      </c>
      <c r="AA8" s="1">
        <v>65.709999999999994</v>
      </c>
      <c r="AB8" s="1">
        <v>69.41</v>
      </c>
      <c r="AC8" s="1">
        <v>68.650000000000006</v>
      </c>
    </row>
    <row r="9" spans="2:29" x14ac:dyDescent="0.35">
      <c r="T9" s="1">
        <v>400</v>
      </c>
      <c r="U9" s="1">
        <v>65.83</v>
      </c>
      <c r="V9" s="1">
        <v>73.72</v>
      </c>
      <c r="W9" s="1">
        <v>76.08</v>
      </c>
      <c r="X9" s="1">
        <v>76.56</v>
      </c>
      <c r="Y9" s="1">
        <v>400</v>
      </c>
      <c r="Z9" s="1">
        <v>62.7</v>
      </c>
      <c r="AA9" s="1">
        <v>67.38</v>
      </c>
      <c r="AB9" s="1">
        <v>73.12</v>
      </c>
      <c r="AC9" s="1">
        <v>70.56</v>
      </c>
    </row>
    <row r="10" spans="2:29" x14ac:dyDescent="0.35">
      <c r="T10" s="1">
        <v>500</v>
      </c>
      <c r="U10" s="1">
        <v>67.34</v>
      </c>
      <c r="V10" s="1">
        <v>74.86</v>
      </c>
      <c r="W10" s="1">
        <v>76.599999999999994</v>
      </c>
      <c r="X10" s="1">
        <v>76.34</v>
      </c>
      <c r="Y10" s="1">
        <v>500</v>
      </c>
      <c r="Z10" s="1">
        <v>65.06</v>
      </c>
      <c r="AA10" s="1">
        <v>68.739999999999995</v>
      </c>
      <c r="AB10" s="1">
        <v>74.08</v>
      </c>
      <c r="AC10" s="1">
        <v>71.760000000000005</v>
      </c>
    </row>
  </sheetData>
  <mergeCells count="9">
    <mergeCell ref="Y2:AC2"/>
    <mergeCell ref="Z4:AC4"/>
    <mergeCell ref="U4:X4"/>
    <mergeCell ref="C3:H3"/>
    <mergeCell ref="C1:H1"/>
    <mergeCell ref="C2:H2"/>
    <mergeCell ref="I3:N3"/>
    <mergeCell ref="I2:N2"/>
    <mergeCell ref="T2:X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22B9-8A04-494F-99D3-35F8F3446239}">
  <dimension ref="B2:O21"/>
  <sheetViews>
    <sheetView tabSelected="1" workbookViewId="0">
      <selection activeCell="O11" sqref="L4:O11"/>
    </sheetView>
  </sheetViews>
  <sheetFormatPr defaultRowHeight="14.5" x14ac:dyDescent="0.35"/>
  <cols>
    <col min="2" max="2" width="11.7265625" bestFit="1" customWidth="1"/>
  </cols>
  <sheetData>
    <row r="2" spans="2:15" x14ac:dyDescent="0.35">
      <c r="H2" s="6"/>
      <c r="I2" s="6"/>
    </row>
    <row r="3" spans="2:15" x14ac:dyDescent="0.35">
      <c r="B3" s="10" t="s">
        <v>9</v>
      </c>
      <c r="C3" s="10"/>
      <c r="D3" s="10"/>
      <c r="E3" s="10"/>
      <c r="F3" s="10"/>
      <c r="G3" s="10"/>
      <c r="H3" s="10"/>
      <c r="I3" s="6"/>
    </row>
    <row r="4" spans="2:15" x14ac:dyDescent="0.35">
      <c r="B4" s="5" t="s">
        <v>2</v>
      </c>
      <c r="C4" s="5">
        <v>1.1499999999999999</v>
      </c>
      <c r="D4" s="5">
        <v>4.3499999999999996</v>
      </c>
      <c r="E4" s="5">
        <v>5.5</v>
      </c>
      <c r="F4" s="5">
        <v>1.1499999999999999</v>
      </c>
      <c r="G4" s="5">
        <v>4.3499999999999996</v>
      </c>
      <c r="H4" s="5">
        <v>5.5</v>
      </c>
      <c r="I4" s="6"/>
      <c r="L4" s="5" t="s">
        <v>13</v>
      </c>
      <c r="M4" s="5">
        <v>1.1499999999999999</v>
      </c>
      <c r="N4" s="5">
        <v>4.3499999999999996</v>
      </c>
      <c r="O4" s="5">
        <v>5.5</v>
      </c>
    </row>
    <row r="5" spans="2:15" x14ac:dyDescent="0.35">
      <c r="B5" s="5" t="s">
        <v>11</v>
      </c>
      <c r="C5" s="13" t="s">
        <v>3</v>
      </c>
      <c r="D5" s="13"/>
      <c r="E5" s="13"/>
      <c r="F5" s="10" t="s">
        <v>4</v>
      </c>
      <c r="G5" s="10"/>
      <c r="H5" s="10"/>
      <c r="L5" s="5" t="s">
        <v>11</v>
      </c>
      <c r="M5" s="13" t="s">
        <v>3</v>
      </c>
      <c r="N5" s="13"/>
      <c r="O5" s="13"/>
    </row>
    <row r="6" spans="2:15" x14ac:dyDescent="0.35">
      <c r="B6" s="5">
        <v>50</v>
      </c>
      <c r="C6" s="3">
        <v>0.98725555555555555</v>
      </c>
      <c r="D6" s="3">
        <v>0.99051686746987955</v>
      </c>
      <c r="E6" s="3">
        <v>0.99668090909090912</v>
      </c>
      <c r="F6" s="3">
        <v>0.97203703703703703</v>
      </c>
      <c r="G6" s="3">
        <v>0.98556626506024092</v>
      </c>
      <c r="H6" s="3">
        <v>0.99294545454545458</v>
      </c>
      <c r="L6" s="5">
        <v>50</v>
      </c>
      <c r="M6" s="3">
        <v>0.98725555555555555</v>
      </c>
      <c r="N6" s="3">
        <v>0.99051686746987955</v>
      </c>
      <c r="O6" s="3">
        <v>0.99668090909090912</v>
      </c>
    </row>
    <row r="7" spans="2:15" x14ac:dyDescent="0.35">
      <c r="B7" s="5">
        <v>100</v>
      </c>
      <c r="C7" s="3">
        <v>0.98798518518518519</v>
      </c>
      <c r="D7" s="3">
        <v>0.99091807228915663</v>
      </c>
      <c r="E7" s="3">
        <v>0.99658363636363634</v>
      </c>
      <c r="F7" s="3">
        <v>0.97127407407407407</v>
      </c>
      <c r="G7" s="3">
        <v>0.98548192771084342</v>
      </c>
      <c r="H7" s="3">
        <v>0.99248181818181813</v>
      </c>
      <c r="L7" s="5">
        <v>100</v>
      </c>
      <c r="M7" s="3">
        <v>0.98798518518518519</v>
      </c>
      <c r="N7" s="3">
        <v>0.99091807228915663</v>
      </c>
      <c r="O7" s="3">
        <v>0.99658363636363634</v>
      </c>
    </row>
    <row r="8" spans="2:15" x14ac:dyDescent="0.35">
      <c r="B8" s="5">
        <v>200</v>
      </c>
      <c r="C8" s="3">
        <v>0.98783333333333334</v>
      </c>
      <c r="D8" s="3">
        <v>0.99066867469879516</v>
      </c>
      <c r="E8" s="3">
        <v>0.99620454545454551</v>
      </c>
      <c r="F8" s="3">
        <v>0.96874074074074068</v>
      </c>
      <c r="G8" s="3">
        <v>0.98445783132530118</v>
      </c>
      <c r="H8" s="3">
        <v>0.99151818181818185</v>
      </c>
      <c r="L8" s="5">
        <v>200</v>
      </c>
      <c r="M8" s="3">
        <v>0.98783333333333334</v>
      </c>
      <c r="N8" s="3">
        <v>0.99066867469879516</v>
      </c>
      <c r="O8" s="3">
        <v>0.99620454545454551</v>
      </c>
    </row>
    <row r="9" spans="2:15" x14ac:dyDescent="0.35">
      <c r="B9" s="5">
        <v>300</v>
      </c>
      <c r="C9" s="3">
        <v>0.98455555555555552</v>
      </c>
      <c r="D9" s="3">
        <v>0.98948313253012043</v>
      </c>
      <c r="E9" s="3">
        <v>0.99552818181818181</v>
      </c>
      <c r="F9" s="3">
        <v>0.96392222222222224</v>
      </c>
      <c r="G9" s="3">
        <v>0.98277108433734939</v>
      </c>
      <c r="H9" s="3">
        <v>0.99046363636363632</v>
      </c>
      <c r="L9" s="5">
        <v>300</v>
      </c>
      <c r="M9" s="3">
        <v>0.98455555555555552</v>
      </c>
      <c r="N9" s="3">
        <v>0.98948313253012043</v>
      </c>
      <c r="O9" s="3">
        <v>0.99552818181818181</v>
      </c>
    </row>
    <row r="10" spans="2:15" x14ac:dyDescent="0.35">
      <c r="B10" s="5">
        <v>400</v>
      </c>
      <c r="C10" s="3">
        <v>0.97991111111111107</v>
      </c>
      <c r="D10" s="3">
        <v>0.9877433734939759</v>
      </c>
      <c r="E10" s="3">
        <v>0.9933245454545454</v>
      </c>
      <c r="F10" s="3">
        <v>0.95888518518518517</v>
      </c>
      <c r="G10" s="3">
        <v>0.98090361445783136</v>
      </c>
      <c r="H10" s="3">
        <v>0.98816363636363636</v>
      </c>
      <c r="L10" s="5">
        <v>400</v>
      </c>
      <c r="M10" s="3">
        <v>0.97991111111111107</v>
      </c>
      <c r="N10" s="3">
        <v>0.9877433734939759</v>
      </c>
      <c r="O10" s="3">
        <v>0.9933245454545454</v>
      </c>
    </row>
    <row r="11" spans="2:15" x14ac:dyDescent="0.35">
      <c r="B11" s="5">
        <v>500</v>
      </c>
      <c r="C11" s="3">
        <v>0.9763518518518518</v>
      </c>
      <c r="D11" s="3">
        <v>0.98546746987951805</v>
      </c>
      <c r="E11" s="3">
        <v>0.99128000000000005</v>
      </c>
      <c r="F11" s="3">
        <v>0.95509999999999995</v>
      </c>
      <c r="G11" s="3">
        <v>0.97855421686746991</v>
      </c>
      <c r="H11" s="3">
        <v>0.98606363636363636</v>
      </c>
      <c r="L11" s="5">
        <v>500</v>
      </c>
      <c r="M11" s="3">
        <v>0.9763518518518518</v>
      </c>
      <c r="N11" s="3">
        <v>0.98546746987951805</v>
      </c>
      <c r="O11" s="3">
        <v>0.99128000000000005</v>
      </c>
    </row>
    <row r="13" spans="2:15" x14ac:dyDescent="0.35">
      <c r="B13" s="10" t="s">
        <v>10</v>
      </c>
      <c r="C13" s="10"/>
      <c r="D13" s="10"/>
      <c r="E13" s="10"/>
      <c r="F13" s="10"/>
      <c r="G13" s="10"/>
      <c r="H13" s="10"/>
    </row>
    <row r="14" spans="2:15" x14ac:dyDescent="0.35">
      <c r="B14" s="5" t="s">
        <v>2</v>
      </c>
      <c r="C14" s="5">
        <v>1.1499999999999999</v>
      </c>
      <c r="D14" s="5">
        <v>4.3499999999999996</v>
      </c>
      <c r="E14" s="5">
        <v>5.5</v>
      </c>
      <c r="F14" s="5">
        <v>1.1499999999999999</v>
      </c>
      <c r="G14" s="5">
        <v>4.3499999999999996</v>
      </c>
      <c r="H14" s="5">
        <v>5.5</v>
      </c>
    </row>
    <row r="15" spans="2:15" x14ac:dyDescent="0.35">
      <c r="B15" s="5" t="s">
        <v>11</v>
      </c>
      <c r="C15" s="13" t="s">
        <v>3</v>
      </c>
      <c r="D15" s="13"/>
      <c r="E15" s="13"/>
      <c r="F15" s="10" t="s">
        <v>4</v>
      </c>
      <c r="G15" s="10"/>
      <c r="H15" s="10"/>
    </row>
    <row r="16" spans="2:15" x14ac:dyDescent="0.35">
      <c r="B16" s="5">
        <v>50</v>
      </c>
      <c r="C16" s="3">
        <v>0.99336666666666662</v>
      </c>
      <c r="D16" s="3">
        <v>0.99425421686746984</v>
      </c>
      <c r="E16" s="3">
        <v>0.99765999999999999</v>
      </c>
      <c r="F16" s="3">
        <v>0.97792222222222225</v>
      </c>
      <c r="G16" s="3">
        <v>0.98923012048192771</v>
      </c>
      <c r="H16" s="3">
        <v>0.99386909090909092</v>
      </c>
    </row>
    <row r="17" spans="2:8" x14ac:dyDescent="0.35">
      <c r="B17" s="5">
        <v>100</v>
      </c>
      <c r="C17" s="3">
        <v>0.99445555555555554</v>
      </c>
      <c r="D17" s="3">
        <v>0.99547349397590357</v>
      </c>
      <c r="E17" s="3">
        <v>0.99789181818181816</v>
      </c>
      <c r="F17" s="3">
        <v>0.97824444444444447</v>
      </c>
      <c r="G17" s="3">
        <v>0.99019999999999997</v>
      </c>
      <c r="H17" s="3">
        <v>0.99391272727272728</v>
      </c>
    </row>
    <row r="18" spans="2:8" x14ac:dyDescent="0.35">
      <c r="B18" s="5">
        <v>200</v>
      </c>
      <c r="C18" s="3">
        <v>0.99464444444444444</v>
      </c>
      <c r="D18" s="3">
        <v>0.99558915662650604</v>
      </c>
      <c r="E18" s="3">
        <v>0.99834909090909096</v>
      </c>
      <c r="F18" s="3">
        <v>0.97740370370370366</v>
      </c>
      <c r="G18" s="3">
        <v>0.98998072289156624</v>
      </c>
      <c r="H18" s="3">
        <v>0.99411727272727268</v>
      </c>
    </row>
    <row r="19" spans="2:8" x14ac:dyDescent="0.35">
      <c r="B19" s="5">
        <v>300</v>
      </c>
      <c r="C19" s="3">
        <v>0.99438148148148153</v>
      </c>
      <c r="D19" s="3">
        <v>0.9951566265060241</v>
      </c>
      <c r="E19" s="3">
        <v>0.99769909090909092</v>
      </c>
      <c r="F19" s="3">
        <v>0.97463333333333335</v>
      </c>
      <c r="G19" s="3">
        <v>0.9887325301204819</v>
      </c>
      <c r="H19" s="3">
        <v>0.99285181818181822</v>
      </c>
    </row>
    <row r="20" spans="2:8" x14ac:dyDescent="0.35">
      <c r="B20" s="5">
        <v>400</v>
      </c>
      <c r="C20" s="3">
        <v>0.99346296296296299</v>
      </c>
      <c r="D20" s="3">
        <v>0.99406024096385537</v>
      </c>
      <c r="E20" s="3">
        <v>0.99736363636363634</v>
      </c>
      <c r="F20" s="3">
        <v>0.97272222222222227</v>
      </c>
      <c r="G20" s="3">
        <v>0.9873132530120482</v>
      </c>
      <c r="H20" s="3">
        <v>0.99227272727272731</v>
      </c>
    </row>
    <row r="21" spans="2:8" x14ac:dyDescent="0.35">
      <c r="B21" s="5">
        <v>500</v>
      </c>
      <c r="C21" s="3">
        <v>0.99161111111111111</v>
      </c>
      <c r="D21" s="3">
        <v>0.99306506024096386</v>
      </c>
      <c r="E21" s="3">
        <v>0.99630181818181818</v>
      </c>
      <c r="F21" s="3">
        <v>0.96963333333333335</v>
      </c>
      <c r="G21" s="3">
        <v>0.98591566265060238</v>
      </c>
      <c r="H21" s="3">
        <v>0.99090727272727275</v>
      </c>
    </row>
  </sheetData>
  <mergeCells count="7">
    <mergeCell ref="B3:H3"/>
    <mergeCell ref="B13:H13"/>
    <mergeCell ref="C15:E15"/>
    <mergeCell ref="F15:H15"/>
    <mergeCell ref="M5:O5"/>
    <mergeCell ref="C5:E5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Sprawność - praca sucha</vt:lpstr>
      <vt:lpstr>Hałas - praca sucha</vt:lpstr>
      <vt:lpstr>Sprawność - praca mokra</vt:lpstr>
      <vt:lpstr>Hałas - praca mokra</vt:lpstr>
      <vt:lpstr>Porównanie</vt:lpstr>
      <vt:lpstr>Tabela do artykułu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Chyliński</dc:creator>
  <cp:lastModifiedBy>Chyliński Arkadiusz (STUD)</cp:lastModifiedBy>
  <dcterms:created xsi:type="dcterms:W3CDTF">2015-06-05T18:19:34Z</dcterms:created>
  <dcterms:modified xsi:type="dcterms:W3CDTF">2025-11-28T14:08:48Z</dcterms:modified>
</cp:coreProperties>
</file>